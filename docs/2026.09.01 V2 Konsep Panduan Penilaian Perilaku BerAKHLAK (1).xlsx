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s>
  <definedNames/>
  <calcPr/>
</workbook>
</file>

<file path=xl/sharedStrings.xml><?xml version="1.0" encoding="utf-8"?>
<sst xmlns="http://schemas.openxmlformats.org/spreadsheetml/2006/main" count="287" uniqueCount="213">
  <si>
    <t>PANDUAN FORMULASI PERHITUNGAN NILAI PERILAKU ASN BerAKHLAK</t>
  </si>
  <si>
    <t>A. STRUKTUR PENILAIAN</t>
  </si>
  <si>
    <t>1. Terdapat 7 Nilai Dasar ASN BerAKHLAK: Berorientasi Pelayanan, Akuntabel, Kompeten, Harmonis, Loyal, Adaptif, Kolaboratif</t>
  </si>
  <si>
    <t>2. Setiap Nilai Dasar dinilai dengan 1 skor pada skala BARS Level 1-5 (mewakili gabungan Panduan Perilaku di dalamnya, sesuai Sheet1 kolom I-M)</t>
  </si>
  <si>
    <t>3. Skor maksimal per Nilai Dasar = 5</t>
  </si>
  <si>
    <t>4. Jumlah Nilai Dasar = 7</t>
  </si>
  <si>
    <t>5. Skor Total Maksimal = 7 x 5 = 35</t>
  </si>
  <si>
    <t>B. FORMULA KONVERSI KE SKALA NILAI MAKSIMAL 120</t>
  </si>
  <si>
    <t>Nilai Perilaku (Skala 120) = (Total Skor Terpilih / Skor Total Maksimal) x Nilai Maksimal</t>
  </si>
  <si>
    <t>Nilai Perilaku (Skala 120) = (Total Skor Terpilih / 35) x 120  &lt;- INI FORMULA YANG BENAR (sesuai usulan Anda)</t>
  </si>
  <si>
    <t>Verifikasi: jika ke-7 Nilai Dasar mendapat skor 5 (maksimal), Total Skor = 35, maka Nilai Perilaku = (35/35) x 120 = 120. Formula ini konsisten dengan ketentuan nilai maksimal untuk skor 5 = 120.</t>
  </si>
  <si>
    <t>C. CONTOH PERHITUNGAN</t>
  </si>
  <si>
    <t>No</t>
  </si>
  <si>
    <t>Nilai Dasar</t>
  </si>
  <si>
    <t>Skor Terpilih (1-5)</t>
  </si>
  <si>
    <t>Keterangan Level</t>
  </si>
  <si>
    <t>Berorientasi Pelayanan</t>
  </si>
  <si>
    <t>Level 1 - kontraproduktif</t>
  </si>
  <si>
    <t>Akuntabel</t>
  </si>
  <si>
    <t>Level 2 - reaktif minim inisiatif</t>
  </si>
  <si>
    <t>Nilai Dasar ASN BerAKHLAK</t>
  </si>
  <si>
    <t>Kompeten</t>
  </si>
  <si>
    <t>Level 5 - role model</t>
  </si>
  <si>
    <t>Definisi Operasional</t>
  </si>
  <si>
    <t>Harmonis</t>
  </si>
  <si>
    <t>Panduan Perilaku</t>
  </si>
  <si>
    <t>Level 4 - proaktif tanpa diminta</t>
  </si>
  <si>
    <t>Loyal</t>
  </si>
  <si>
    <t>Level 3 - sesuai standar</t>
  </si>
  <si>
    <t>Adaptif</t>
  </si>
  <si>
    <t>Kolaboratif</t>
  </si>
  <si>
    <t>Konsep Panduan Umum dan Nilai Rating Perilaku Kerja dari KemenPANRB</t>
  </si>
  <si>
    <t>Contoh Deksripsi Detail dari KemenPANRB</t>
  </si>
  <si>
    <t>Konsep Instrumen BARS</t>
  </si>
  <si>
    <t>Total Skor</t>
  </si>
  <si>
    <t>Umpan Balik Perbaikan Perilaku Level 1</t>
  </si>
  <si>
    <t>Umpan Balik Perbaikan Perilaku Level 2</t>
  </si>
  <si>
    <t>Umpan Balik Perbaikan Perilaku Level 3</t>
  </si>
  <si>
    <t>Umpan Balik Perbaikan Perilaku Level 4</t>
  </si>
  <si>
    <t>Umpan Balik Perbaikan Perilaku Level 5</t>
  </si>
  <si>
    <t>(Sumber: UU 20 Tahun 2023, PermenPANRB 6 Tahun 2022)</t>
  </si>
  <si>
    <t>Nilai Perilaku (Skala 120)</t>
  </si>
  <si>
    <t xml:space="preserve">(Sumber: Rancangan Revisi PermenPANRB 6 Tahun 2022)			</t>
  </si>
  <si>
    <t>Konsep Gradasi berdasarkan Skala BARS sesuai Nilai Dasar ASN BerAKHLAK</t>
  </si>
  <si>
    <t>Konsep Umpan Balik sesuai Level BARS pada masing-masing Nilai Dasar ASN BerAKHLAK</t>
  </si>
  <si>
    <t>D. ALTERNATIF / CATATAN TAMBAHAN</t>
  </si>
  <si>
    <t>1. Formula (Total Skor / 35) x 120 SUDAH TEPAT - secara matematis ekuivalen dengan menghitung per Nilai Dasar lalu dijumlahkan: (Skor/5 x 120/7) untuk masing-masing Nilai Dasar, dijumlahkan 7 Nilai Dasar. Hasil akhir sama karena bersifat linear-proporsional.</t>
  </si>
  <si>
    <t>2. PENTING: pastikan skoring dilakukan 1 skor per Nilai Dasar (bukan per butir Panduan Perilaku). Jika ke depan skoring dilakukan per BUTIR PERILAKU (21 butir, 3 per Nilai Dasar), maka Skor Total Maksimal berubah jadi 21 x 5 = 105, dan formula menjadi (Total Skor / 105) x 120.</t>
  </si>
  <si>
    <t>3. Gunakan ROUND(...,2) agar nilai akhir rapi 2 desimal.</t>
  </si>
  <si>
    <t>4. Jika ke depan ingin pembobotan berbeda antar Nilai Dasar (tidak sama rata), gunakan rata-rata tertimbang: Nilai Perilaku = SUMPRODUCT(Skor,Bobot) / SUMPRODUCT(SkorMaks,Bobot) x 120.</t>
  </si>
  <si>
    <t>5. Opsional - tambahkan kategori predikat berbasis skala 120 agar hasil actionable, misal: Sangat Baik &gt;108 (90%), Baik 96-108 (80-90%), Cukup 78-95.9 (65-80%), Kurang 60-77.9 (50-65%), Sangat Kurang &lt;60 (&lt;50%). Sesuaikan ambang batas dengan kebijakan internal Kemenkes.</t>
  </si>
  <si>
    <t>Komitmen memberikan pelayanan prima demi kepuasan masyarakat</t>
  </si>
  <si>
    <t>1.</t>
  </si>
  <si>
    <t>Memahami dan memenuhi kebutuhan masyarakat</t>
  </si>
  <si>
    <t>1. Secara konsisten melampaui ekspektasi, menjadi teladan, dan memberi dampak luas bagi organisasi. (100)
2. Menunjukkan perilaku BerAKHLAK secara kuat dan dalam beberapa aspek melampaui ekspektasi (90)
3. Konsisten menunjukkan perilaku BerAKHLAK serta memberi kontribusi positif bagi tim dan hasil kerja (80)
4. Menunjukkan perilaku BerAKHLAK pada sebagian besar situasi kerja dan mendukung kinerja tim (70)
5. Mulai menunjukkan perilaku BerAKHLAK pada beberapa aspek, namun belum konsisten. (60)
6. Menunjukkan sebagian perilaku BerAKHLAK, namun masih belum konsisten dan sangat bergantung pada arahan (50)
7. Belum menunjukkan perilaku kerja sesuai nilai BerAKHLAK dan memerlukan pembinaan intensif. (40)</t>
  </si>
  <si>
    <t>1. Menjadi role model, penggerak kolaborasi, dan motor inovasi/perubahan.
2. Sangat proaktif, mendorong kolaborasi, dan berkontribusi pada perbaikan kerja.
3. Bertanggung jawab, aktif bekerja sama, dan mampu bekerja mandiri dalam perubahan.
4. Menyelesaikan tugas dengan baik, komunikasi cukup efektif, dan mampu beradaptasi.
5. Cukup responsif, mampu bekerja sama dasar, dan mulai beradaptasi dengan arahan.
6. Penyelesaian tugas sering terlambat, komunikasi kurang efektif, dan adaptasi masih rendah
7. Tidak responsif, sulit bekerja sama, dan tidak adaptif terhadap perubahan.</t>
  </si>
  <si>
    <t>Membiarkan keluhan masyarakat/pengguna layanan tidak ditindaklanjuti hingga berlarut-larut.</t>
  </si>
  <si>
    <t>Melayani sesuai jam kerja formal tanpa berusaha memahami kebutuhan sebenarnya dari masyarakat yang dilayani.</t>
  </si>
  <si>
    <t>Menyelesaikan permintaan layanan sesuai standar prosedur yang berlaku, namun baru bertindak setelah diminta.</t>
  </si>
  <si>
    <t>Menindaklanjuti keluhan atau kebutuhan masyarakat dengan cepat dan memberikan solusi yang tepat tanpa diminta berulang kali.</t>
  </si>
  <si>
    <t>Mengusulkan dan menerapkan perbaikan layanan atas inisiatif sendiri berdasarkan masukan masyarakat, sebelum diminta oleh atasan.</t>
  </si>
  <si>
    <t>Segera tindak lanjuti setiap keluhan masyarakat/pengguna layanan maksimal 1x24 jam, jangan dibiarkan berlarut-larut.</t>
  </si>
  <si>
    <t>Pahami kebutuhan nyata masyarakat, jangan sekadar menjalankan prosedur formal.</t>
  </si>
  <si>
    <t>Sudah sesuai standar; tingkatkan dengan lebih berinisiatif tanpa menunggu diminta.</t>
  </si>
  <si>
    <t>Pertahankan respons yang cepat dan solutif ini secara konsisten.</t>
  </si>
  <si>
    <t>Pertahankan dan tularkan inisiatif perbaikan layanan ini ke rekan kerja.</t>
  </si>
  <si>
    <t>2.</t>
  </si>
  <si>
    <t>Ramah, cekatan, solutif, dan dapat diandalkan</t>
  </si>
  <si>
    <t>3.</t>
  </si>
  <si>
    <t>Melakukan perbaikan tiada hent</t>
  </si>
  <si>
    <t>Bertanggung jawab atas kepercayaan yang diberikan</t>
  </si>
  <si>
    <t>Melaksanakan tugas dengan jujur, bertanggung jawab, cermat, disiplin, dan berintegritas tinggi</t>
  </si>
  <si>
    <t>Menggunakan fasilitas/aset kantor untuk kepentingan pribadi di luar peruntukannya.</t>
  </si>
  <si>
    <t>Menyelesaikan tugas dengan hasil yang tidak sesuai standar karena kurang teliti dalam bekerja.</t>
  </si>
  <si>
    <t>Menyelesaikan tugas sesuai batas waktu dan aturan yang ditetapkan tanpa perlu diawasi ketat.</t>
  </si>
  <si>
    <t>Melaporkan penggunaan anggaran/aset secara transparan dan tepat waktu sesuai ketentuan yang berlaku.</t>
  </si>
  <si>
    <t>Mengingatkan atau menegur rekan kerja yang menyalahgunakan wewenang/aset, meski berisiko tidak populer.</t>
  </si>
  <si>
    <t>Hentikan penggunaan aset kantor di luar peruntukannya; patuhi aturan BMN.</t>
  </si>
  <si>
    <t>Tingkatkan ketelitian kerja dengan membiasakan cek ulang sebelum menyerahkan hasil.</t>
  </si>
  <si>
    <t>Sudah disiplin; lebih proaktif melaporkan penggunaan sumber daya tanpa diminta.</t>
  </si>
  <si>
    <t>Pertahankan transparansi dan ketepatan waktu pelaporan ini.</t>
  </si>
  <si>
    <t>Menggunakan kekayaan dan BMN secara bertanggung jawab, efektif, dan efisien</t>
  </si>
  <si>
    <t>Tidak menyalahgunakan kewenangan jabatan</t>
  </si>
  <si>
    <t>Terus belajar dan mengembangkan kapabilitas</t>
  </si>
  <si>
    <t>Meningkatkan kompetensi diri untuk menjawab tantangan yang selalu berubah</t>
  </si>
  <si>
    <t>Menolak mengikuti pelatihan atau kegiatan pengembangan kompetensi yang ditugaskan.</t>
  </si>
  <si>
    <t>Mengerjakan tugas dengan cara lama meski sudah tidak sesuai kebutuhan pekerjaan saat ini.</t>
  </si>
  <si>
    <t>Mengikuti pelatihan/tugas belajar yang diwajibkan dan menerapkannya pada pekerjaan sehari-hari.</t>
  </si>
  <si>
    <t>Mempelajari keterampilan baru secara mandiri untuk menyelesaikan tugas yang belum pernah dikerjakan sebelumnya.</t>
  </si>
  <si>
    <t>Membimbing/melatih rekan kerja lain hingga rekan tersebut mampu menyelesaikan tugas secara mandiri.</t>
  </si>
  <si>
    <t>Ikuti pelatihan yang ditugaskan dengan sikap terbuka untuk mengembangkan diri.</t>
  </si>
  <si>
    <t>Perbarui cara kerja sesuai kebutuhan terkini, jangan bertahan di cara lama.</t>
  </si>
  <si>
    <t>Sudah baik menerapkan pelatihan; mulai belajar mandiri tanpa menunggu penugasan.</t>
  </si>
  <si>
    <t>Pertahankan belajar mandiri ini dan mulai bagikan ke rekan kerja.</t>
  </si>
  <si>
    <t>Pertahankan peran sebagai mentor bagi rekan kerja.</t>
  </si>
  <si>
    <t>Membantu orang lain belajar</t>
  </si>
  <si>
    <t>Melaksanakan tugas dengan kualitas terbaik</t>
  </si>
  <si>
    <t>Saling peduli dan menghargai
perbedaan</t>
  </si>
  <si>
    <t>Menghargai setiap orang tanpa membedakan
latar belakang;</t>
  </si>
  <si>
    <t>Membeda-bedakan perlakuan kepada rekan kerja berdasarkan suku, agama, atau golongan tertentu.</t>
  </si>
  <si>
    <t>Membiarkan rekan kerja kesulitan menyelesaikan tugas tanpa menawarkan bantuan.</t>
  </si>
  <si>
    <t>Bersedia membantu rekan kerja yang meminta bantuan secara langsung.</t>
  </si>
  <si>
    <t>Menawarkan bantuan kepada rekan kerja yang kesulitan tanpa diminta terlebih dahulu.</t>
  </si>
  <si>
    <t>Menjadi penengah saat terjadi perselisihan antar rekan kerja hingga situasi kembali kondusif.</t>
  </si>
  <si>
    <t>Hentikan sikap membeda-bedakan rekan kerja; perlakukan semua secara setara.</t>
  </si>
  <si>
    <t>Biasakan menawarkan bantuan saat melihat rekan kerja kesulitan.</t>
  </si>
  <si>
    <t>Sudah bersedia membantu; lebih peka tanpa harus diminta dulu.</t>
  </si>
  <si>
    <t>Pertahankan kepekaan menawarkan bantuan secara proaktif ini.</t>
  </si>
  <si>
    <t>Pertahankan peran sebagai penengah yang menjaga keharmonisan tim.</t>
  </si>
  <si>
    <t>Suka menolong</t>
  </si>
  <si>
    <t>Membangun lingkungan kerja yang kondusif;</t>
  </si>
  <si>
    <t>Berdedikasi dan mengutamakan kepentingan bangsa dan negara</t>
  </si>
  <si>
    <t>Memegang teguh ideologi Pancasila, UUD Negara RI Tahun I945, setia kepada NKRI, dan pemerintahan yang sah</t>
  </si>
  <si>
    <t>Menyebarkan informasi rahasia instansi kepada pihak yang tidak berwenang.</t>
  </si>
  <si>
    <t>Menyampaikan keluhan tentang kebijakan instansi di media sosial atau ruang publik.</t>
  </si>
  <si>
    <t>Menjalankan kebijakan dan arahan pimpinan yang sah sesuai aturan yang berlaku.</t>
  </si>
  <si>
    <t>Menjaga kerahasiaan data/dokumen negara sesuai dengan tingkat kerahasiaannya.</t>
  </si>
  <si>
    <t>Membela nama baik instansi secara aktif ketika instansi mendapat kritik yang tidak berdasar di ruang publik.</t>
  </si>
  <si>
    <t>Hentikan segera membocorkan informasi rahasia instansi; jaga kerahasiaannya.</t>
  </si>
  <si>
    <t>Sampaikan keluhan kebijakan lewat saluran internal, bukan di ruang publik.</t>
  </si>
  <si>
    <t>Sudah patuh pada kebijakan; tingkatkan kedisiplinan menjaga kerahasiaan data.</t>
  </si>
  <si>
    <t>Pertahankan kedisiplinan menjaga kerahasiaan data ini secara konsisten.</t>
  </si>
  <si>
    <t>Pertahankan keberanian membela nama baik instansi secara santun dan berbasis fakta.</t>
  </si>
  <si>
    <t>Menjaga nama baik ASN, instansi, dan negara</t>
  </si>
  <si>
    <t>Menjaga rahasia jabatan dan negara</t>
  </si>
  <si>
    <t>Terus berinovasi dan antusias dalam menggerakkan serta menghadapi perubahan</t>
  </si>
  <si>
    <t>Cepat menyesuaikan diri menghadapi perubahan</t>
  </si>
  <si>
    <t>Menolak menjalankan cara kerja atau sistem baru yang ditetapkan instansi.</t>
  </si>
  <si>
    <t>Menjalankan sistem/cara kerja baru hanya setelah diperintahkan berulang kali oleh atasan.</t>
  </si>
  <si>
    <t>Menyesuaikan diri dengan perubahan kebijakan atau sistem kerja dalam waktu yang wajar.</t>
  </si>
  <si>
    <t>Mengusulkan cara atau ide baru untuk menyelesaikan pekerjaan lebih efektif dari sebelumnya.</t>
  </si>
  <si>
    <t>Menjadi pihak pertama yang mencoba dan menerapkan sistem/teknologi baru sebelum diwajibkan, lalu membagikannya ke rekan kerja.</t>
  </si>
  <si>
    <t>Bersikap terbuka terhadap perubahan sistem kerja, jangan menolaknya.</t>
  </si>
  <si>
    <t>Segera terapkan perubahan begitu diinformasikan, tanpa menunggu diingatkan berulang.</t>
  </si>
  <si>
    <t>Sudah cukup adaptif; mulai berani usulkan ide perbaikan, bukan hanya menyesuaikan diri.</t>
  </si>
  <si>
    <t>Pertahankan inisiatif usulan ide baru ini dan coba terapkan bertahap.</t>
  </si>
  <si>
    <t>Pertahankan semangat menjadi pelopor inovasi dan berbagi ke rekan kerja.</t>
  </si>
  <si>
    <t>Terus berinovasi dan mengembangkan kreativitas</t>
  </si>
  <si>
    <t>Bertindak proaktif</t>
  </si>
  <si>
    <t>Membangun kerja sama yang
sinergis</t>
  </si>
  <si>
    <t>Memberi kesempatan kepada berbagai pihak untuk berkontribusi;</t>
  </si>
  <si>
    <t>Menolak bekerja sama dengan unit atau pihak lain meski dibutuhkan untuk penyelesaian tugas.</t>
  </si>
  <si>
    <t>Bekerja sama dengan pihak lain hanya jika ditugaskan secara langsung oleh atasan.</t>
  </si>
  <si>
    <t>Berkontribusi aktif dalam tim lintas unit sesuai tugas yang diberikan.</t>
  </si>
  <si>
    <t>Mengajak pihak lain (unit/instansi) untuk terlibat dalam penyelesaian pekerjaan bersama.</t>
  </si>
  <si>
    <t>Membangun kerja sama/kemitraan baru dengan pihak lain yang menghasilkan manfaat nyata bagi organisasi.</t>
  </si>
  <si>
    <t>Bersikap terbuka untuk bekerja sama saat dibutuhkan pihak lain.</t>
  </si>
  <si>
    <t>Tawarkan diri terlibat kerja sama lintas unit, jangan menunggu ditugaskan.</t>
  </si>
  <si>
    <t>Sudah berkontribusi baik; mulai ambil inisiatif mengajak pihak lain terlibat.</t>
  </si>
  <si>
    <t>Pertahankan inisiatif mengajak kolaborasi ini dan jajaki kemitraan lebih luas.</t>
  </si>
  <si>
    <t>Pertahankan kemampuan membangun kemitraan strategis dan bagikan strateginya ke rekan kerja.</t>
  </si>
  <si>
    <t>Terbuka dalam bekerja sama untuk menghasilkan nilai tambah</t>
  </si>
  <si>
    <t>Menggerakkan pemanfaatan berbagai sumber daya untuk tujuan bersama</t>
  </si>
  <si>
    <t>Mock Up Penilaian Perilaku Kerja Pegawai seusai Nilai Dasar ASN BerAKHLAK</t>
  </si>
  <si>
    <t>1. Membiarkan keluhan masyarakat/pengguna layanan tidak ditindaklanjuti hingga berlarut-larut.</t>
  </si>
  <si>
    <t>1. Menggunakan fasilitas/aset kantor untuk kepentingan pribadi di luar peruntukannya.</t>
  </si>
  <si>
    <t>1. Menolak mengikuti pelatihan atau kegiatan pengembangan kompetensi yang ditugaskan.</t>
  </si>
  <si>
    <t>1. Membeda-bedakan perlakuan kepada rekan kerja berdasarkan suku, agama, atau golongan tertentu.</t>
  </si>
  <si>
    <t>1. Menyebarkan informasi rahasia instansi kepada pihak yang tidak berwenang.</t>
  </si>
  <si>
    <t>1. Menolak menjalankan cara kerja atau sistem baru yang ditetapkan instansi.</t>
  </si>
  <si>
    <t>1. Menolak bekerja sama dengan unit atau pihak lain meski dibutuhkan untuk penyelesaian tugas.</t>
  </si>
  <si>
    <t>2. Melayani sesuai jam kerja formal tanpa berusaha memahami kebutuhan sebenarnya dari masyarakat yang dilayani.</t>
  </si>
  <si>
    <t>2. Menyelesaikan tugas dengan hasil yang tidak sesuai standar karena kurang teliti dalam bekerja.</t>
  </si>
  <si>
    <t>2. Mengerjakan tugas dengan cara lama meski sudah tidak sesuai kebutuhan pekerjaan saat ini.</t>
  </si>
  <si>
    <t>2. Membiarkan rekan kerja kesulitan menyelesaikan tugas tanpa menawarkan bantuan.</t>
  </si>
  <si>
    <t>2. Menyampaikan keluhan tentang kebijakan instansi di media sosial atau ruang publik.</t>
  </si>
  <si>
    <t>2. Menjalankan sistem/cara kerja baru hanya setelah diperintahkan berulang kali oleh atasan.</t>
  </si>
  <si>
    <t>2. Bekerja sama dengan pihak lain hanya jika ditugaskan secara langsung oleh atasan.</t>
  </si>
  <si>
    <t>3. Menyelesaikan permintaan layanan sesuai standar prosedur yang berlaku, namun baru bertindak setelah diminta.</t>
  </si>
  <si>
    <t>3. Menyelesaikan tugas sesuai batas waktu dan aturan yang ditetapkan tanpa perlu diawasi ketat.</t>
  </si>
  <si>
    <t>3. Mengikuti pelatihan/tugas belajar yang diwajibkan dan menerapkannya pada pekerjaan sehari-hari.</t>
  </si>
  <si>
    <t>3. Bersedia membantu rekan kerja yang meminta bantuan secara langsung.</t>
  </si>
  <si>
    <t>3. Menjalankan kebijakan dan arahan pimpinan yang sah sesuai aturan yang berlaku.</t>
  </si>
  <si>
    <t>3. Menyesuaikan diri dengan perubahan kebijakan atau sistem kerja dalam waktu yang wajar.</t>
  </si>
  <si>
    <t>3. Berkontribusi aktif dalam tim lintas unit sesuai tugas yang diberikan.</t>
  </si>
  <si>
    <t>4. Menindaklanjuti keluhan atau kebutuhan masyarakat dengan cepat dan memberikan solusi yang tepat tanpa diminta berulang kali.</t>
  </si>
  <si>
    <t>4. Melaporkan penggunaan anggaran/aset secara transparan dan tepat waktu sesuai ketentuan yang berlaku.</t>
  </si>
  <si>
    <t>4. Mempelajari keterampilan baru secara mandiri untuk menyelesaikan tugas yang belum pernah dikerjakan sebelumnya.</t>
  </si>
  <si>
    <t>4. Menawarkan bantuan kepada rekan kerja yang kesulitan tanpa diminta terlebih dahulu.</t>
  </si>
  <si>
    <t>4. Menjaga kerahasiaan data/dokumen negara sesuai dengan tingkat kerahasiaannya.</t>
  </si>
  <si>
    <t>4. Mengusulkan cara atau ide baru untuk menyelesaikan pekerjaan lebih efektif dari sebelumnya.</t>
  </si>
  <si>
    <t>4. Mengajak pihak lain (unit/instansi) untuk terlibat dalam penyelesaian pekerjaan bersama.</t>
  </si>
  <si>
    <t>5. Mengusulkan dan menerapkan perbaikan layanan atas inisiatif sendiri berdasarkan masukan masyarakat, sebelum diminta oleh atasan.</t>
  </si>
  <si>
    <t>5. Mengingatkan atau menegur rekan kerja yang menyalahgunakan wewenang/aset, meski berisiko tidak populer.</t>
  </si>
  <si>
    <t>5. Membimbing/melatih rekan kerja lain hingga rekan tersebut mampu menyelesaikan tugas secara mandiri.</t>
  </si>
  <si>
    <t>5. Menjadi penengah saat terjadi perselisihan antar rekan kerja hingga situasi kembali kondusif.</t>
  </si>
  <si>
    <t>5. Membela nama baik instansi secara aktif ketika instansi mendapat kritik yang tidak berdasar di ruang publik.</t>
  </si>
  <si>
    <t>5. Menjadi pihak pertama yang mencoba dan menerapkan sistem/teknologi baru sebelum diwajibkan, lalu membagikannya ke rekan kerja.</t>
  </si>
  <si>
    <t>5. Membangun kerja sama/kemitraan baru dengan pihak lain yang menghasilkan manfaat nyata bagi organisasi.</t>
  </si>
  <si>
    <t>Nilai Perilaku Berorientasi Pelayanan</t>
  </si>
  <si>
    <t>Nilai Perilaku Akuntabel</t>
  </si>
  <si>
    <t>Nilai Perilaku Kompeten</t>
  </si>
  <si>
    <t>Nilai Perilaku Harmonis</t>
  </si>
  <si>
    <t>Nilai Perilaku Loyal</t>
  </si>
  <si>
    <t>Nilai Perilaku Adaptif</t>
  </si>
  <si>
    <t>Nilai Perilaku Kolaboratif</t>
  </si>
  <si>
    <t>Nilai Perilaku BerAKHLAK</t>
  </si>
  <si>
    <t>Mapping BerAKHLAK ke Budaya Kerja Kemenkes</t>
  </si>
  <si>
    <t xml:space="preserve">Eksekusi Efektif </t>
  </si>
  <si>
    <t>Cara Kerja Baru</t>
  </si>
  <si>
    <t>Pelayanan Unggul</t>
  </si>
  <si>
    <t>Summary Hasil Mapping</t>
  </si>
  <si>
    <t>Eksekusi Efektif (Nilai Perilaku Rerata Akuntabel, Kompeten, dan Loyal)</t>
  </si>
  <si>
    <t>Cara Kerja Baru (Nilai Perilaku Rerata Adaptif dan Kolaboratif)</t>
  </si>
  <si>
    <t>Pelayanan Unggul (Nilai Perilaku Rerata Berorientasi Pelayanan dan Harmonis)</t>
  </si>
  <si>
    <t>Visualisasi Hasil Mapping Implementasi Nilai Dasar ASN BerAKHLAK ke Budaya Kerja Kemenkes (Eksekusi Efektif, Cara Kerja Baru dan Pelayanan Unggul)</t>
  </si>
  <si>
    <t>Rekomendasi: Column/Bar Chart (perbandingan 3 kategori pada skala 0-120) sebagai chart utama, dilengkapi Gauge/KPI card per kategori untuk ringkasan eksekutif.</t>
  </si>
  <si>
    <t>Data Chart (sumber untuk visualisasi):</t>
  </si>
  <si>
    <t>Kategori</t>
  </si>
  <si>
    <t>Eksekusi Efektif</t>
  </si>
  <si>
    <t>Alternatif Visualisasi Data Hasil Penilaian Perilaku sesuai Nilai Dasar ASN BerAKHLAK dan Hasil Mapping Budaya Kerja Kemenkes</t>
  </si>
  <si>
    <t>Data Radar Chart 1: Nilai Perilaku per Nilai Dasar ASN BerAKHLAK</t>
  </si>
  <si>
    <t>Data Radar Chart 2: Nilai Perilaku per Budaya Kerja Kemenkes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</si>
</sst>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b/>
      <color rgb="FFFFFFFF"/>
      <name val="Century Gothic"/>
    </font>
    <font/>
    <font>
      <b/>
      <color theme="1"/>
      <name val="Century Gothic"/>
    </font>
    <font>
      <i/>
      <color rgb="FFFFFFFF"/>
      <name val="Century Gothic"/>
    </font>
    <font>
      <b/>
      <i/>
      <color rgb="FFFFFFFF"/>
      <name val="Century Gothic"/>
    </font>
    <font>
      <i/>
      <color theme="1"/>
      <name val="Century Gothic"/>
    </font>
    <font>
      <color theme="1"/>
      <name val="Century Gothic"/>
    </font>
    <font>
      <b/>
      <color theme="1"/>
      <name val="Arial"/>
      <scheme val="minor"/>
    </font>
  </fonts>
  <fills count="5">
    <fill>
      <patternFill patternType="none"/>
    </fill>
    <fill>
      <patternFill patternType="lightGray"/>
    </fill>
    <fill>
      <patternFill patternType="solid">
        <fgColor theme="9"/>
        <bgColor theme="9"/>
      </patternFill>
    </fill>
    <fill>
      <patternFill patternType="solid">
        <fgColor rgb="FFCFE2F3"/>
        <bgColor rgb="FFCFE2F3"/>
      </patternFill>
    </fill>
    <fill>
      <patternFill patternType="solid">
        <fgColor rgb="FFD0E0E3"/>
        <bgColor rgb="FFD0E0E3"/>
      </patternFill>
    </fill>
  </fills>
  <borders count="8">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Alignment="1" applyFont="1">
      <alignment readingOrder="0"/>
    </xf>
    <xf borderId="1" fillId="2" fontId="2" numFmtId="0" xfId="0" applyAlignment="1" applyBorder="1" applyFill="1" applyFont="1">
      <alignment readingOrder="0" shrinkToFit="0" vertical="center" wrapText="1"/>
    </xf>
    <xf borderId="0" fillId="0" fontId="1" numFmtId="0" xfId="0" applyAlignment="1" applyFont="1">
      <alignment horizontal="center"/>
    </xf>
    <xf borderId="2" fillId="2" fontId="2" numFmtId="0" xfId="0" applyAlignment="1" applyBorder="1" applyFill="1" applyFont="1">
      <alignment readingOrder="0" shrinkToFit="0" vertical="top" wrapText="1"/>
    </xf>
    <xf borderId="3" fillId="2" fontId="2" numFmtId="0" xfId="0" applyAlignment="1" applyBorder="1" applyFill="1" applyFont="1">
      <alignment readingOrder="0" shrinkToFit="0" vertical="top" wrapText="1"/>
    </xf>
    <xf borderId="4" fillId="0" fontId="3" numFmtId="0" xfId="0" applyBorder="1" applyFont="1"/>
    <xf borderId="2" fillId="2" fontId="2" numFmtId="0" xfId="0" applyAlignment="1" applyBorder="1" applyFill="1" applyFont="1">
      <alignment horizontal="center" readingOrder="0" shrinkToFit="0" vertical="top" wrapText="1"/>
    </xf>
    <xf borderId="0" fillId="0" fontId="4" numFmtId="0" xfId="0" applyAlignment="1" applyFont="1">
      <alignment shrinkToFit="0" vertical="top" wrapText="1"/>
    </xf>
    <xf borderId="5" fillId="0" fontId="3" numFmtId="0" xfId="0" applyBorder="1" applyFont="1"/>
    <xf borderId="0" fillId="0" fontId="1" numFmtId="0" xfId="0" applyFont="1"/>
    <xf borderId="3" fillId="2" fontId="5" numFmtId="0" xfId="0" applyAlignment="1" applyBorder="1" applyFill="1" applyFont="1">
      <alignment horizontal="center" readingOrder="0" shrinkToFit="0" vertical="top" wrapText="1"/>
    </xf>
    <xf borderId="6" fillId="0" fontId="3" numFmtId="0" xfId="0" applyBorder="1" applyFont="1"/>
    <xf borderId="2" fillId="2" fontId="5" numFmtId="0" xfId="0" applyAlignment="1" applyBorder="1" applyFill="1" applyFont="1">
      <alignment readingOrder="0" shrinkToFit="0" vertical="top" wrapText="1"/>
    </xf>
    <xf borderId="3" fillId="2" fontId="6" numFmtId="0" xfId="0" applyAlignment="1" applyBorder="1" applyFill="1" applyFont="1">
      <alignment horizontal="center" readingOrder="0" shrinkToFit="0" vertical="top" wrapText="1"/>
    </xf>
    <xf borderId="0" fillId="0" fontId="1" numFmtId="0" xfId="0" applyAlignment="1" applyFont="1">
      <alignment horizontal="center" readingOrder="0"/>
    </xf>
    <xf borderId="0" fillId="0" fontId="7" numFmtId="0" xfId="0" applyAlignment="1" applyFont="1">
      <alignment shrinkToFit="0" vertical="top" wrapText="1"/>
    </xf>
    <xf borderId="1" fillId="0" fontId="8" numFmtId="0" xfId="0" applyAlignment="1" applyBorder="1" applyFont="1">
      <alignment horizontal="center" readingOrder="0" shrinkToFit="0" vertical="top" wrapText="1"/>
    </xf>
    <xf borderId="1"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1" fillId="0" fontId="8" numFmtId="0" xfId="0" applyAlignment="1" applyBorder="1" applyFont="1">
      <alignment readingOrder="0" shrinkToFit="0" vertical="center" wrapText="1"/>
    </xf>
    <xf borderId="0" fillId="0" fontId="8" numFmtId="0" xfId="0" applyAlignment="1" applyFont="1">
      <alignment shrinkToFit="0" vertical="top" wrapText="1"/>
    </xf>
    <xf borderId="7" fillId="0" fontId="3" numFmtId="0" xfId="0" applyBorder="1" applyFont="1"/>
    <xf borderId="0" fillId="0" fontId="8" numFmtId="0" xfId="0" applyAlignment="1" applyFont="1">
      <alignment readingOrder="0" shrinkToFit="0" vertical="top" wrapText="1"/>
    </xf>
    <xf borderId="0" fillId="0" fontId="9" numFmtId="0" xfId="0" applyAlignment="1" applyFont="1">
      <alignment readingOrder="0"/>
    </xf>
    <xf borderId="2" fillId="0" fontId="1" numFmtId="0" xfId="0" applyAlignment="1" applyBorder="1" applyFont="1">
      <alignment horizontal="center" readingOrder="0"/>
    </xf>
    <xf borderId="2" fillId="0" fontId="1" numFmtId="0" xfId="0" applyAlignment="1" applyBorder="1" applyFont="1">
      <alignment readingOrder="0"/>
    </xf>
    <xf borderId="3" fillId="0" fontId="8" numFmtId="0" xfId="0" applyAlignment="1" applyBorder="1" applyFont="1">
      <alignment readingOrder="0" shrinkToFit="0" vertical="top" wrapText="1"/>
    </xf>
    <xf borderId="2" fillId="0" fontId="1" numFmtId="0" xfId="0" applyBorder="1" applyFont="1"/>
    <xf borderId="2" fillId="0" fontId="8" numFmtId="0" xfId="0" applyAlignment="1" applyBorder="1" applyFont="1">
      <alignment horizontal="left" readingOrder="0" shrinkToFit="0" vertical="top" wrapText="1"/>
    </xf>
    <xf borderId="0" fillId="3" fontId="1" numFmtId="0" xfId="0" applyFill="1" applyFont="1"/>
    <xf borderId="0" fillId="4" fontId="1"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Nilai Perilaku (Skala 120)</a:t>
            </a:r>
          </a:p>
        </c:rich>
      </c:tx>
      <c:overlay val="0"/>
    </c:title>
    <c:plotArea>
      <c:layout/>
      <c:barChart>
        <c:barDir val="col"/>
        <c:ser>
          <c:idx val="0"/>
          <c:order val="0"/>
          <c:tx>
            <c:strRef>
              <c:f>Sheet3!$C$45</c:f>
            </c:strRef>
          </c:tx>
          <c:spPr>
            <a:solidFill>
              <a:schemeClr val="accent1"/>
            </a:solidFill>
            <a:ln cmpd="sng">
              <a:noFill/>
            </a:ln>
          </c:spPr>
          <c:cat>
            <c:strRef>
              <c:f>Sheet3!$B$46:$B$48</c:f>
            </c:strRef>
          </c:cat>
          <c:val>
            <c:numRef>
              <c:f>Sheet3!$C$46:$C$48</c:f>
              <c:numCache/>
            </c:numRef>
          </c:val>
        </c:ser>
        <c:axId val="1732732576"/>
        <c:axId val="240103640"/>
      </c:barChart>
      <c:catAx>
        <c:axId val="17327325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Kategori</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40103640"/>
      </c:catAx>
      <c:valAx>
        <c:axId val="240103640"/>
        <c:scaling>
          <c:orientation val="minMax"/>
          <c:max val="12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Nilai Perilaku (Skala 120)</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3273257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Nilai Perilaku (Skala 120) vs. Nilai Dasar</a:t>
            </a:r>
          </a:p>
        </c:rich>
      </c:tx>
      <c:overlay val="0"/>
    </c:title>
    <c:plotArea>
      <c:layout/>
      <c:radarChart>
        <c:radarStyle val="marker"/>
        <c:ser>
          <c:idx val="0"/>
          <c:order val="0"/>
          <c:tx>
            <c:strRef>
              <c:f>Sheet3!$C$73:$C$74</c:f>
            </c:strRef>
          </c:tx>
          <c:spPr>
            <a:ln cmpd="sng">
              <a:solidFill>
                <a:srgbClr val="4285F4"/>
              </a:solidFill>
            </a:ln>
          </c:spPr>
          <c:marker>
            <c:symbol val="none"/>
          </c:marker>
          <c:cat>
            <c:strRef>
              <c:f>Sheet3!$B$75:$B$80</c:f>
            </c:strRef>
          </c:cat>
          <c:val>
            <c:numRef>
              <c:f>Sheet3!$C$75:$C$80</c:f>
              <c:numCache/>
            </c:numRef>
          </c:val>
          <c:smooth val="1"/>
        </c:ser>
        <c:axId val="487740590"/>
        <c:axId val="2115776154"/>
      </c:radarChart>
      <c:catAx>
        <c:axId val="4877405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15776154"/>
      </c:catAx>
      <c:valAx>
        <c:axId val="2115776154"/>
        <c:scaling>
          <c:orientation val="minMax"/>
          <c:max val="12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Nilai Perilaku (Skala 120)</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8774059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Nilai Perilaku (Skala 120)</a:t>
            </a:r>
          </a:p>
        </c:rich>
      </c:tx>
      <c:overlay val="0"/>
    </c:title>
    <c:plotArea>
      <c:layout/>
      <c:radarChart>
        <c:radarStyle val="marker"/>
        <c:ser>
          <c:idx val="0"/>
          <c:order val="0"/>
          <c:tx>
            <c:strRef>
              <c:f>Sheet3!$C$84</c:f>
            </c:strRef>
          </c:tx>
          <c:spPr>
            <a:ln cmpd="sng">
              <a:solidFill>
                <a:srgbClr val="4285F4"/>
              </a:solidFill>
            </a:ln>
          </c:spPr>
          <c:marker>
            <c:symbol val="none"/>
          </c:marker>
          <c:cat>
            <c:strRef>
              <c:f>Sheet3!$B$85:$B$87</c:f>
            </c:strRef>
          </c:cat>
          <c:val>
            <c:numRef>
              <c:f>Sheet3!$C$85:$C$87</c:f>
              <c:numCache/>
            </c:numRef>
          </c:val>
          <c:smooth val="1"/>
        </c:ser>
        <c:axId val="827346837"/>
        <c:axId val="488941998"/>
      </c:radarChart>
      <c:catAx>
        <c:axId val="8273468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88941998"/>
      </c:catAx>
      <c:valAx>
        <c:axId val="488941998"/>
        <c:scaling>
          <c:orientation val="minMax"/>
          <c:max val="12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Nilai Perilaku (Skala 120)</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27346837"/>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390525</xdr:colOff>
      <xdr:row>48</xdr:row>
      <xdr:rowOff>152400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95250</xdr:colOff>
      <xdr:row>72</xdr:row>
      <xdr:rowOff>104775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209550</xdr:colOff>
      <xdr:row>90</xdr:row>
      <xdr:rowOff>152400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24.38"/>
    <col customWidth="1" min="3" max="3" width="27.25"/>
    <col customWidth="1" min="4" max="4" width="4.5"/>
    <col customWidth="1" min="5" max="5" width="55.13"/>
    <col customWidth="1" hidden="1" min="6" max="6" width="63.38"/>
    <col customWidth="1" hidden="1" min="7" max="7" width="57.0"/>
    <col customWidth="1" min="8" max="8" width="24.0"/>
    <col customWidth="1" min="9" max="11" width="37.63"/>
    <col customWidth="1" min="12" max="12" width="40.38"/>
    <col customWidth="1" min="13" max="13" width="41.5"/>
    <col customWidth="1" min="14" max="18" width="37.63"/>
  </cols>
  <sheetData>
    <row r="1">
      <c r="A1" s="3" t="s">
        <v>12</v>
      </c>
      <c r="B1" s="5" t="s">
        <v>20</v>
      </c>
      <c r="C1" s="5" t="s">
        <v>23</v>
      </c>
      <c r="D1" s="6" t="s">
        <v>25</v>
      </c>
      <c r="E1" s="7"/>
      <c r="F1" s="5" t="s">
        <v>31</v>
      </c>
      <c r="G1" s="5" t="s">
        <v>32</v>
      </c>
      <c r="H1" s="5" t="s">
        <v>33</v>
      </c>
      <c r="I1" s="8">
        <v>1.0</v>
      </c>
      <c r="J1" s="8">
        <v>2.0</v>
      </c>
      <c r="K1" s="8">
        <v>3.0</v>
      </c>
      <c r="L1" s="8">
        <v>4.0</v>
      </c>
      <c r="M1" s="8">
        <v>5.0</v>
      </c>
      <c r="N1" s="8" t="s">
        <v>35</v>
      </c>
      <c r="O1" s="8" t="s">
        <v>36</v>
      </c>
      <c r="P1" s="8" t="s">
        <v>37</v>
      </c>
      <c r="Q1" s="8" t="s">
        <v>38</v>
      </c>
      <c r="R1" s="8" t="s">
        <v>39</v>
      </c>
      <c r="S1" s="9"/>
      <c r="T1" s="9"/>
      <c r="U1" s="9"/>
      <c r="V1" s="9"/>
      <c r="W1" s="9"/>
      <c r="X1" s="9"/>
      <c r="Y1" s="9"/>
      <c r="Z1" s="9"/>
      <c r="AA1" s="9"/>
    </row>
    <row r="2">
      <c r="A2" s="10"/>
      <c r="B2" s="12" t="s">
        <v>40</v>
      </c>
      <c r="C2" s="13"/>
      <c r="D2" s="13"/>
      <c r="E2" s="7"/>
      <c r="F2" s="12" t="s">
        <v>42</v>
      </c>
      <c r="G2" s="7"/>
      <c r="H2" s="14" t="s">
        <v>20</v>
      </c>
      <c r="I2" s="15" t="s">
        <v>43</v>
      </c>
      <c r="J2" s="13"/>
      <c r="K2" s="13"/>
      <c r="L2" s="13"/>
      <c r="M2" s="7"/>
      <c r="N2" s="15" t="s">
        <v>44</v>
      </c>
      <c r="O2" s="13"/>
      <c r="P2" s="13"/>
      <c r="Q2" s="13"/>
      <c r="R2" s="7"/>
      <c r="S2" s="17"/>
      <c r="T2" s="17"/>
      <c r="U2" s="17"/>
      <c r="V2" s="17"/>
      <c r="W2" s="17"/>
      <c r="X2" s="17"/>
      <c r="Y2" s="17"/>
      <c r="Z2" s="17"/>
      <c r="AA2" s="17"/>
    </row>
    <row r="3">
      <c r="A3" s="18">
        <v>1.0</v>
      </c>
      <c r="B3" s="19" t="s">
        <v>16</v>
      </c>
      <c r="C3" s="19" t="s">
        <v>51</v>
      </c>
      <c r="D3" s="20" t="s">
        <v>52</v>
      </c>
      <c r="E3" s="20" t="s">
        <v>53</v>
      </c>
      <c r="F3" s="21" t="s">
        <v>54</v>
      </c>
      <c r="G3" s="21" t="s">
        <v>55</v>
      </c>
      <c r="H3" s="19" t="s">
        <v>16</v>
      </c>
      <c r="I3" s="19" t="s">
        <v>56</v>
      </c>
      <c r="J3" s="19" t="s">
        <v>57</v>
      </c>
      <c r="K3" s="19" t="s">
        <v>58</v>
      </c>
      <c r="L3" s="19" t="s">
        <v>59</v>
      </c>
      <c r="M3" s="19" t="s">
        <v>60</v>
      </c>
      <c r="N3" s="19" t="s">
        <v>61</v>
      </c>
      <c r="O3" s="19" t="s">
        <v>62</v>
      </c>
      <c r="P3" s="19" t="s">
        <v>63</v>
      </c>
      <c r="Q3" s="19" t="s">
        <v>64</v>
      </c>
      <c r="R3" s="19" t="s">
        <v>65</v>
      </c>
      <c r="S3" s="22"/>
      <c r="T3" s="22"/>
      <c r="U3" s="22"/>
      <c r="V3" s="22"/>
      <c r="W3" s="22"/>
      <c r="X3" s="22"/>
      <c r="Y3" s="22"/>
      <c r="Z3" s="22"/>
      <c r="AA3" s="22"/>
    </row>
    <row r="4">
      <c r="A4" s="23"/>
      <c r="B4" s="23"/>
      <c r="C4" s="23"/>
      <c r="D4" s="20" t="s">
        <v>66</v>
      </c>
      <c r="E4" s="20" t="s">
        <v>67</v>
      </c>
      <c r="F4" s="23"/>
      <c r="G4" s="23"/>
      <c r="H4" s="23"/>
      <c r="I4" s="23"/>
      <c r="J4" s="23"/>
      <c r="K4" s="23"/>
      <c r="L4" s="23"/>
      <c r="M4" s="23"/>
      <c r="N4" s="23"/>
      <c r="O4" s="23"/>
      <c r="P4" s="23"/>
      <c r="Q4" s="23"/>
      <c r="R4" s="23"/>
      <c r="S4" s="22"/>
      <c r="T4" s="22"/>
      <c r="U4" s="22"/>
      <c r="V4" s="22"/>
      <c r="W4" s="22"/>
      <c r="X4" s="22"/>
      <c r="Y4" s="22"/>
      <c r="Z4" s="22"/>
      <c r="AA4" s="22"/>
    </row>
    <row r="5">
      <c r="A5" s="10"/>
      <c r="B5" s="10"/>
      <c r="C5" s="10"/>
      <c r="D5" s="20" t="s">
        <v>68</v>
      </c>
      <c r="E5" s="20" t="s">
        <v>69</v>
      </c>
      <c r="F5" s="23"/>
      <c r="G5" s="23"/>
      <c r="H5" s="10"/>
      <c r="I5" s="10"/>
      <c r="J5" s="10"/>
      <c r="K5" s="10"/>
      <c r="L5" s="10"/>
      <c r="M5" s="10"/>
      <c r="N5" s="10"/>
      <c r="O5" s="10"/>
      <c r="P5" s="10"/>
      <c r="Q5" s="10"/>
      <c r="R5" s="10"/>
      <c r="S5" s="22"/>
      <c r="T5" s="22"/>
      <c r="U5" s="22"/>
      <c r="V5" s="22"/>
      <c r="W5" s="22"/>
      <c r="X5" s="22"/>
      <c r="Y5" s="22"/>
      <c r="Z5" s="22"/>
      <c r="AA5" s="22"/>
    </row>
    <row r="6">
      <c r="A6" s="18">
        <v>2.0</v>
      </c>
      <c r="B6" s="19" t="s">
        <v>18</v>
      </c>
      <c r="C6" s="19" t="s">
        <v>70</v>
      </c>
      <c r="D6" s="20" t="s">
        <v>52</v>
      </c>
      <c r="E6" s="20" t="s">
        <v>71</v>
      </c>
      <c r="F6" s="23"/>
      <c r="G6" s="23"/>
      <c r="H6" s="19" t="s">
        <v>18</v>
      </c>
      <c r="I6" s="19" t="s">
        <v>72</v>
      </c>
      <c r="J6" s="19" t="s">
        <v>73</v>
      </c>
      <c r="K6" s="19" t="s">
        <v>74</v>
      </c>
      <c r="L6" s="19" t="s">
        <v>75</v>
      </c>
      <c r="M6" s="19" t="s">
        <v>76</v>
      </c>
      <c r="N6" s="19" t="s">
        <v>77</v>
      </c>
      <c r="O6" s="19" t="s">
        <v>78</v>
      </c>
      <c r="P6" s="19" t="s">
        <v>79</v>
      </c>
      <c r="Q6" s="19" t="s">
        <v>80</v>
      </c>
      <c r="R6" s="19"/>
      <c r="S6" s="22"/>
      <c r="T6" s="22"/>
      <c r="U6" s="22"/>
      <c r="V6" s="22"/>
      <c r="W6" s="22"/>
      <c r="X6" s="22"/>
      <c r="Y6" s="22"/>
      <c r="Z6" s="22"/>
      <c r="AA6" s="22"/>
    </row>
    <row r="7">
      <c r="A7" s="23"/>
      <c r="B7" s="23"/>
      <c r="C7" s="23"/>
      <c r="D7" s="20" t="s">
        <v>66</v>
      </c>
      <c r="E7" s="20" t="s">
        <v>81</v>
      </c>
      <c r="F7" s="23"/>
      <c r="G7" s="23"/>
      <c r="H7" s="23"/>
      <c r="I7" s="23"/>
      <c r="J7" s="23"/>
      <c r="K7" s="23"/>
      <c r="L7" s="23"/>
      <c r="M7" s="23"/>
      <c r="N7" s="23"/>
      <c r="O7" s="23"/>
      <c r="P7" s="23"/>
      <c r="Q7" s="23"/>
      <c r="R7" s="23"/>
      <c r="S7" s="22"/>
      <c r="T7" s="22"/>
      <c r="U7" s="22"/>
      <c r="V7" s="22"/>
      <c r="W7" s="22"/>
      <c r="X7" s="22"/>
      <c r="Y7" s="22"/>
      <c r="Z7" s="22"/>
      <c r="AA7" s="22"/>
    </row>
    <row r="8">
      <c r="A8" s="10"/>
      <c r="B8" s="10"/>
      <c r="C8" s="10"/>
      <c r="D8" s="20" t="s">
        <v>68</v>
      </c>
      <c r="E8" s="20" t="s">
        <v>82</v>
      </c>
      <c r="F8" s="23"/>
      <c r="G8" s="23"/>
      <c r="H8" s="10"/>
      <c r="I8" s="10"/>
      <c r="J8" s="10"/>
      <c r="K8" s="10"/>
      <c r="L8" s="10"/>
      <c r="M8" s="10"/>
      <c r="N8" s="10"/>
      <c r="O8" s="10"/>
      <c r="P8" s="10"/>
      <c r="Q8" s="10"/>
      <c r="R8" s="10"/>
      <c r="S8" s="22"/>
      <c r="T8" s="22"/>
      <c r="U8" s="22"/>
      <c r="V8" s="22"/>
      <c r="W8" s="22"/>
      <c r="X8" s="22"/>
      <c r="Y8" s="22"/>
      <c r="Z8" s="22"/>
      <c r="AA8" s="22"/>
    </row>
    <row r="9">
      <c r="A9" s="18">
        <v>3.0</v>
      </c>
      <c r="B9" s="19" t="s">
        <v>21</v>
      </c>
      <c r="C9" s="19" t="s">
        <v>83</v>
      </c>
      <c r="D9" s="20" t="s">
        <v>52</v>
      </c>
      <c r="E9" s="20" t="s">
        <v>84</v>
      </c>
      <c r="F9" s="23"/>
      <c r="G9" s="23"/>
      <c r="H9" s="19" t="s">
        <v>21</v>
      </c>
      <c r="I9" s="19" t="s">
        <v>85</v>
      </c>
      <c r="J9" s="19" t="s">
        <v>86</v>
      </c>
      <c r="K9" s="19" t="s">
        <v>87</v>
      </c>
      <c r="L9" s="19" t="s">
        <v>88</v>
      </c>
      <c r="M9" s="19" t="s">
        <v>89</v>
      </c>
      <c r="N9" s="19" t="s">
        <v>90</v>
      </c>
      <c r="O9" s="19" t="s">
        <v>91</v>
      </c>
      <c r="P9" s="19" t="s">
        <v>92</v>
      </c>
      <c r="Q9" s="19" t="s">
        <v>93</v>
      </c>
      <c r="R9" s="19" t="s">
        <v>94</v>
      </c>
      <c r="S9" s="24"/>
      <c r="T9" s="24"/>
      <c r="U9" s="24"/>
      <c r="V9" s="22"/>
      <c r="W9" s="22"/>
      <c r="X9" s="22"/>
      <c r="Y9" s="22"/>
      <c r="Z9" s="22"/>
      <c r="AA9" s="22"/>
    </row>
    <row r="10">
      <c r="A10" s="23"/>
      <c r="B10" s="23"/>
      <c r="C10" s="23"/>
      <c r="D10" s="20" t="s">
        <v>66</v>
      </c>
      <c r="E10" s="20" t="s">
        <v>95</v>
      </c>
      <c r="F10" s="23"/>
      <c r="G10" s="23"/>
      <c r="H10" s="23"/>
      <c r="I10" s="23"/>
      <c r="J10" s="23"/>
      <c r="K10" s="23"/>
      <c r="L10" s="23"/>
      <c r="M10" s="23"/>
      <c r="N10" s="23"/>
      <c r="O10" s="23"/>
      <c r="P10" s="23"/>
      <c r="Q10" s="23"/>
      <c r="R10" s="23"/>
      <c r="S10" s="22"/>
      <c r="T10" s="22"/>
      <c r="U10" s="22"/>
      <c r="V10" s="22"/>
      <c r="W10" s="22"/>
      <c r="X10" s="22"/>
      <c r="Y10" s="22"/>
      <c r="Z10" s="22"/>
      <c r="AA10" s="22"/>
    </row>
    <row r="11">
      <c r="A11" s="10"/>
      <c r="B11" s="10"/>
      <c r="C11" s="10"/>
      <c r="D11" s="20" t="s">
        <v>68</v>
      </c>
      <c r="E11" s="20" t="s">
        <v>96</v>
      </c>
      <c r="F11" s="23"/>
      <c r="G11" s="23"/>
      <c r="H11" s="10"/>
      <c r="I11" s="10"/>
      <c r="J11" s="10"/>
      <c r="K11" s="10"/>
      <c r="L11" s="10"/>
      <c r="M11" s="10"/>
      <c r="N11" s="10"/>
      <c r="O11" s="10"/>
      <c r="P11" s="10"/>
      <c r="Q11" s="10"/>
      <c r="R11" s="10"/>
      <c r="S11" s="22"/>
      <c r="T11" s="22"/>
      <c r="U11" s="22"/>
      <c r="V11" s="22"/>
      <c r="W11" s="22"/>
      <c r="X11" s="22"/>
      <c r="Y11" s="22"/>
      <c r="Z11" s="22"/>
      <c r="AA11" s="22"/>
    </row>
    <row r="12">
      <c r="A12" s="18">
        <v>4.0</v>
      </c>
      <c r="B12" s="19" t="s">
        <v>24</v>
      </c>
      <c r="C12" s="19" t="s">
        <v>97</v>
      </c>
      <c r="D12" s="20" t="s">
        <v>52</v>
      </c>
      <c r="E12" s="20" t="s">
        <v>98</v>
      </c>
      <c r="F12" s="23"/>
      <c r="G12" s="23"/>
      <c r="H12" s="19" t="s">
        <v>24</v>
      </c>
      <c r="I12" s="19" t="s">
        <v>99</v>
      </c>
      <c r="J12" s="19" t="s">
        <v>100</v>
      </c>
      <c r="K12" s="19" t="s">
        <v>101</v>
      </c>
      <c r="L12" s="19" t="s">
        <v>102</v>
      </c>
      <c r="M12" s="19" t="s">
        <v>103</v>
      </c>
      <c r="N12" s="19" t="s">
        <v>104</v>
      </c>
      <c r="O12" s="19" t="s">
        <v>105</v>
      </c>
      <c r="P12" s="19" t="s">
        <v>106</v>
      </c>
      <c r="Q12" s="19" t="s">
        <v>107</v>
      </c>
      <c r="R12" s="19" t="s">
        <v>108</v>
      </c>
      <c r="S12" s="24"/>
      <c r="T12" s="24"/>
      <c r="U12" s="24"/>
      <c r="V12" s="22"/>
      <c r="W12" s="22"/>
      <c r="X12" s="22"/>
      <c r="Y12" s="22"/>
      <c r="Z12" s="22"/>
      <c r="AA12" s="22"/>
    </row>
    <row r="13">
      <c r="A13" s="23"/>
      <c r="B13" s="23"/>
      <c r="C13" s="23"/>
      <c r="D13" s="20" t="s">
        <v>66</v>
      </c>
      <c r="E13" s="20" t="s">
        <v>109</v>
      </c>
      <c r="F13" s="23"/>
      <c r="G13" s="23"/>
      <c r="H13" s="23"/>
      <c r="I13" s="23"/>
      <c r="J13" s="23"/>
      <c r="K13" s="23"/>
      <c r="L13" s="23"/>
      <c r="M13" s="23"/>
      <c r="N13" s="23"/>
      <c r="O13" s="23"/>
      <c r="P13" s="23"/>
      <c r="Q13" s="23"/>
      <c r="R13" s="23"/>
      <c r="S13" s="22"/>
      <c r="T13" s="22"/>
      <c r="U13" s="22"/>
      <c r="V13" s="22"/>
      <c r="W13" s="22"/>
      <c r="X13" s="22"/>
      <c r="Y13" s="22"/>
      <c r="Z13" s="22"/>
      <c r="AA13" s="22"/>
    </row>
    <row r="14">
      <c r="A14" s="10"/>
      <c r="B14" s="10"/>
      <c r="C14" s="10"/>
      <c r="D14" s="20" t="s">
        <v>68</v>
      </c>
      <c r="E14" s="20" t="s">
        <v>110</v>
      </c>
      <c r="F14" s="23"/>
      <c r="G14" s="23"/>
      <c r="H14" s="10"/>
      <c r="I14" s="10"/>
      <c r="J14" s="10"/>
      <c r="K14" s="10"/>
      <c r="L14" s="10"/>
      <c r="M14" s="10"/>
      <c r="N14" s="10"/>
      <c r="O14" s="10"/>
      <c r="P14" s="10"/>
      <c r="Q14" s="10"/>
      <c r="R14" s="10"/>
      <c r="S14" s="22"/>
      <c r="T14" s="22"/>
      <c r="U14" s="22"/>
      <c r="V14" s="22"/>
      <c r="W14" s="22"/>
      <c r="X14" s="22"/>
      <c r="Y14" s="22"/>
      <c r="Z14" s="22"/>
      <c r="AA14" s="22"/>
    </row>
    <row r="15">
      <c r="A15" s="18">
        <v>5.0</v>
      </c>
      <c r="B15" s="19" t="s">
        <v>27</v>
      </c>
      <c r="C15" s="19" t="s">
        <v>111</v>
      </c>
      <c r="D15" s="20" t="s">
        <v>52</v>
      </c>
      <c r="E15" s="20" t="s">
        <v>112</v>
      </c>
      <c r="F15" s="23"/>
      <c r="G15" s="23"/>
      <c r="H15" s="19" t="s">
        <v>27</v>
      </c>
      <c r="I15" s="19" t="s">
        <v>113</v>
      </c>
      <c r="J15" s="19" t="s">
        <v>114</v>
      </c>
      <c r="K15" s="19" t="s">
        <v>115</v>
      </c>
      <c r="L15" s="19" t="s">
        <v>116</v>
      </c>
      <c r="M15" s="19" t="s">
        <v>117</v>
      </c>
      <c r="N15" s="19" t="s">
        <v>118</v>
      </c>
      <c r="O15" s="19" t="s">
        <v>119</v>
      </c>
      <c r="P15" s="19" t="s">
        <v>120</v>
      </c>
      <c r="Q15" s="19" t="s">
        <v>121</v>
      </c>
      <c r="R15" s="19" t="s">
        <v>122</v>
      </c>
      <c r="S15" s="24"/>
      <c r="T15" s="24"/>
      <c r="U15" s="24"/>
      <c r="V15" s="22"/>
      <c r="W15" s="22"/>
      <c r="X15" s="22"/>
      <c r="Y15" s="22"/>
      <c r="Z15" s="22"/>
      <c r="AA15" s="22"/>
    </row>
    <row r="16">
      <c r="A16" s="23"/>
      <c r="B16" s="23"/>
      <c r="C16" s="23"/>
      <c r="D16" s="20" t="s">
        <v>66</v>
      </c>
      <c r="E16" s="20" t="s">
        <v>123</v>
      </c>
      <c r="F16" s="23"/>
      <c r="G16" s="23"/>
      <c r="H16" s="23"/>
      <c r="I16" s="23"/>
      <c r="J16" s="23"/>
      <c r="K16" s="23"/>
      <c r="L16" s="23"/>
      <c r="M16" s="23"/>
      <c r="N16" s="23"/>
      <c r="O16" s="23"/>
      <c r="P16" s="23"/>
      <c r="Q16" s="23"/>
      <c r="R16" s="23"/>
      <c r="S16" s="22"/>
      <c r="T16" s="22"/>
      <c r="U16" s="22"/>
      <c r="V16" s="22"/>
      <c r="W16" s="22"/>
      <c r="X16" s="22"/>
      <c r="Y16" s="22"/>
      <c r="Z16" s="22"/>
      <c r="AA16" s="22"/>
    </row>
    <row r="17">
      <c r="A17" s="10"/>
      <c r="B17" s="10"/>
      <c r="C17" s="10"/>
      <c r="D17" s="20" t="s">
        <v>68</v>
      </c>
      <c r="E17" s="20" t="s">
        <v>124</v>
      </c>
      <c r="F17" s="23"/>
      <c r="G17" s="23"/>
      <c r="H17" s="10"/>
      <c r="I17" s="10"/>
      <c r="J17" s="10"/>
      <c r="K17" s="10"/>
      <c r="L17" s="10"/>
      <c r="M17" s="10"/>
      <c r="N17" s="10"/>
      <c r="O17" s="10"/>
      <c r="P17" s="10"/>
      <c r="Q17" s="10"/>
      <c r="R17" s="10"/>
      <c r="S17" s="22"/>
      <c r="T17" s="22"/>
      <c r="U17" s="22"/>
      <c r="V17" s="22"/>
      <c r="W17" s="22"/>
      <c r="X17" s="22"/>
      <c r="Y17" s="22"/>
      <c r="Z17" s="22"/>
      <c r="AA17" s="22"/>
    </row>
    <row r="18">
      <c r="A18" s="18">
        <v>6.0</v>
      </c>
      <c r="B18" s="19" t="s">
        <v>29</v>
      </c>
      <c r="C18" s="19" t="s">
        <v>125</v>
      </c>
      <c r="D18" s="20" t="s">
        <v>52</v>
      </c>
      <c r="E18" s="20" t="s">
        <v>126</v>
      </c>
      <c r="F18" s="23"/>
      <c r="G18" s="23"/>
      <c r="H18" s="19" t="s">
        <v>29</v>
      </c>
      <c r="I18" s="19" t="s">
        <v>127</v>
      </c>
      <c r="J18" s="19" t="s">
        <v>128</v>
      </c>
      <c r="K18" s="19" t="s">
        <v>129</v>
      </c>
      <c r="L18" s="19" t="s">
        <v>130</v>
      </c>
      <c r="M18" s="19" t="s">
        <v>131</v>
      </c>
      <c r="N18" s="19" t="s">
        <v>132</v>
      </c>
      <c r="O18" s="19" t="s">
        <v>133</v>
      </c>
      <c r="P18" s="19" t="s">
        <v>134</v>
      </c>
      <c r="Q18" s="19" t="s">
        <v>135</v>
      </c>
      <c r="R18" s="19" t="s">
        <v>136</v>
      </c>
      <c r="S18" s="24"/>
      <c r="T18" s="24"/>
      <c r="U18" s="24"/>
      <c r="V18" s="22"/>
      <c r="W18" s="22"/>
      <c r="X18" s="22"/>
      <c r="Y18" s="22"/>
      <c r="Z18" s="22"/>
      <c r="AA18" s="22"/>
    </row>
    <row r="19">
      <c r="A19" s="23"/>
      <c r="B19" s="23"/>
      <c r="C19" s="23"/>
      <c r="D19" s="20" t="s">
        <v>66</v>
      </c>
      <c r="E19" s="20" t="s">
        <v>137</v>
      </c>
      <c r="F19" s="23"/>
      <c r="G19" s="23"/>
      <c r="H19" s="23"/>
      <c r="I19" s="23"/>
      <c r="J19" s="23"/>
      <c r="K19" s="23"/>
      <c r="L19" s="23"/>
      <c r="M19" s="23"/>
      <c r="N19" s="23"/>
      <c r="O19" s="23"/>
      <c r="P19" s="23"/>
      <c r="Q19" s="23"/>
      <c r="R19" s="23"/>
      <c r="S19" s="22"/>
      <c r="T19" s="22"/>
      <c r="U19" s="22"/>
      <c r="V19" s="22"/>
      <c r="W19" s="22"/>
      <c r="X19" s="22"/>
      <c r="Y19" s="22"/>
      <c r="Z19" s="22"/>
      <c r="AA19" s="22"/>
    </row>
    <row r="20" ht="47.25" customHeight="1">
      <c r="A20" s="10"/>
      <c r="B20" s="10"/>
      <c r="C20" s="10"/>
      <c r="D20" s="20" t="s">
        <v>68</v>
      </c>
      <c r="E20" s="20" t="s">
        <v>138</v>
      </c>
      <c r="F20" s="23"/>
      <c r="G20" s="23"/>
      <c r="H20" s="10"/>
      <c r="I20" s="10"/>
      <c r="J20" s="10"/>
      <c r="K20" s="10"/>
      <c r="L20" s="10"/>
      <c r="M20" s="10"/>
      <c r="N20" s="10"/>
      <c r="O20" s="10"/>
      <c r="P20" s="10"/>
      <c r="Q20" s="10"/>
      <c r="R20" s="10"/>
      <c r="S20" s="22"/>
      <c r="T20" s="22"/>
      <c r="U20" s="22"/>
      <c r="V20" s="22"/>
      <c r="W20" s="22"/>
      <c r="X20" s="22"/>
      <c r="Y20" s="22"/>
      <c r="Z20" s="22"/>
      <c r="AA20" s="22"/>
    </row>
    <row r="21">
      <c r="A21" s="18">
        <v>7.0</v>
      </c>
      <c r="B21" s="19" t="s">
        <v>30</v>
      </c>
      <c r="C21" s="19" t="s">
        <v>139</v>
      </c>
      <c r="D21" s="20" t="s">
        <v>52</v>
      </c>
      <c r="E21" s="20" t="s">
        <v>140</v>
      </c>
      <c r="F21" s="23"/>
      <c r="G21" s="23"/>
      <c r="H21" s="19" t="s">
        <v>30</v>
      </c>
      <c r="I21" s="19" t="s">
        <v>141</v>
      </c>
      <c r="J21" s="19" t="s">
        <v>142</v>
      </c>
      <c r="K21" s="19" t="s">
        <v>143</v>
      </c>
      <c r="L21" s="19" t="s">
        <v>144</v>
      </c>
      <c r="M21" s="19" t="s">
        <v>145</v>
      </c>
      <c r="N21" s="19" t="s">
        <v>146</v>
      </c>
      <c r="O21" s="19" t="s">
        <v>147</v>
      </c>
      <c r="P21" s="19" t="s">
        <v>148</v>
      </c>
      <c r="Q21" s="19" t="s">
        <v>149</v>
      </c>
      <c r="R21" s="19" t="s">
        <v>150</v>
      </c>
      <c r="S21" s="24"/>
      <c r="T21" s="24"/>
      <c r="U21" s="24"/>
      <c r="V21" s="22"/>
      <c r="W21" s="22"/>
      <c r="X21" s="22"/>
      <c r="Y21" s="22"/>
      <c r="Z21" s="22"/>
      <c r="AA21" s="22"/>
    </row>
    <row r="22">
      <c r="A22" s="23"/>
      <c r="B22" s="23"/>
      <c r="C22" s="23"/>
      <c r="D22" s="20" t="s">
        <v>66</v>
      </c>
      <c r="E22" s="20" t="s">
        <v>151</v>
      </c>
      <c r="F22" s="23"/>
      <c r="G22" s="23"/>
      <c r="H22" s="23"/>
      <c r="I22" s="23"/>
      <c r="J22" s="23"/>
      <c r="K22" s="23"/>
      <c r="L22" s="23"/>
      <c r="M22" s="23"/>
      <c r="N22" s="23"/>
      <c r="O22" s="23"/>
      <c r="P22" s="23"/>
      <c r="Q22" s="23"/>
      <c r="R22" s="23"/>
      <c r="S22" s="22"/>
      <c r="T22" s="22"/>
      <c r="U22" s="22"/>
      <c r="V22" s="22"/>
      <c r="W22" s="22"/>
      <c r="X22" s="22"/>
      <c r="Y22" s="22"/>
      <c r="Z22" s="22"/>
      <c r="AA22" s="22"/>
    </row>
    <row r="23" ht="47.25" customHeight="1">
      <c r="A23" s="10"/>
      <c r="B23" s="10"/>
      <c r="C23" s="10"/>
      <c r="D23" s="20" t="s">
        <v>68</v>
      </c>
      <c r="E23" s="20" t="s">
        <v>152</v>
      </c>
      <c r="F23" s="10"/>
      <c r="G23" s="10"/>
      <c r="H23" s="10"/>
      <c r="I23" s="10"/>
      <c r="J23" s="10"/>
      <c r="K23" s="10"/>
      <c r="L23" s="10"/>
      <c r="M23" s="10"/>
      <c r="N23" s="10"/>
      <c r="O23" s="10"/>
      <c r="P23" s="10"/>
      <c r="Q23" s="10"/>
      <c r="R23" s="10"/>
      <c r="S23" s="22"/>
      <c r="T23" s="22"/>
      <c r="U23" s="22"/>
      <c r="V23" s="22"/>
      <c r="W23" s="22"/>
      <c r="X23" s="22"/>
      <c r="Y23" s="22"/>
      <c r="Z23" s="22"/>
      <c r="AA23" s="22"/>
    </row>
    <row r="24" ht="47.25" customHeight="1">
      <c r="A24" s="22"/>
      <c r="B24" s="22"/>
      <c r="C24" s="22"/>
      <c r="D24" s="22"/>
      <c r="E24" s="22"/>
      <c r="F24" s="22"/>
      <c r="G24" s="22"/>
      <c r="H24" s="22"/>
      <c r="I24" s="22"/>
      <c r="J24" s="22"/>
      <c r="K24" s="22"/>
      <c r="L24" s="22"/>
      <c r="M24" s="22"/>
      <c r="N24" s="22"/>
      <c r="O24" s="22"/>
      <c r="P24" s="22"/>
      <c r="Q24" s="24"/>
      <c r="R24" s="24"/>
      <c r="S24" s="24"/>
      <c r="T24" s="24"/>
      <c r="U24" s="24"/>
      <c r="V24" s="22"/>
      <c r="W24" s="22"/>
      <c r="X24" s="22"/>
      <c r="Y24" s="22"/>
      <c r="Z24" s="22"/>
      <c r="AA24" s="22"/>
    </row>
    <row r="25" ht="47.2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row>
    <row r="26" ht="47.2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row>
    <row r="27" ht="47.25" customHeight="1">
      <c r="A27" s="22"/>
      <c r="B27" s="22"/>
      <c r="C27" s="22"/>
      <c r="D27" s="22"/>
      <c r="E27" s="22"/>
      <c r="F27" s="22"/>
      <c r="G27" s="22"/>
      <c r="H27" s="22"/>
      <c r="I27" s="22"/>
      <c r="J27" s="22"/>
      <c r="K27" s="22"/>
      <c r="L27" s="22"/>
      <c r="M27" s="22"/>
      <c r="N27" s="22"/>
      <c r="O27" s="24"/>
      <c r="P27" s="24"/>
      <c r="Q27" s="24"/>
      <c r="R27" s="24"/>
      <c r="S27" s="24"/>
      <c r="T27" s="22"/>
      <c r="U27" s="22"/>
      <c r="V27" s="22"/>
      <c r="W27" s="22"/>
      <c r="X27" s="22"/>
      <c r="Y27" s="22"/>
      <c r="Z27" s="22"/>
      <c r="AA27" s="22"/>
    </row>
    <row r="28" ht="47.2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row>
    <row r="29" ht="47.2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row>
    <row r="30" ht="47.2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row>
    <row r="31" ht="47.2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row>
    <row r="32" ht="47.2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row>
    <row r="33" ht="47.2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row>
    <row r="34" ht="47.2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row>
    <row r="35" ht="47.2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row>
    <row r="36" ht="47.2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row>
    <row r="37" ht="47.2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row>
    <row r="38" ht="47.2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row>
    <row r="39" ht="47.2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row>
    <row r="40" ht="47.2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row>
    <row r="41" ht="47.2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row>
    <row r="42" ht="47.2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row>
    <row r="43" ht="47.2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row>
    <row r="44" ht="47.2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row>
    <row r="45" ht="47.2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row>
    <row r="46" ht="47.2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row>
    <row r="47" ht="47.2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row>
    <row r="48" ht="47.2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row>
    <row r="49" ht="47.2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row>
    <row r="50" ht="47.2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row>
    <row r="51" ht="47.2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row>
    <row r="52" ht="47.2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row>
    <row r="53" ht="47.2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row>
    <row r="54" ht="47.2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row>
    <row r="55" ht="47.2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row>
    <row r="56" ht="47.2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row>
    <row r="57" ht="47.2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row>
    <row r="58" ht="47.2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row>
    <row r="59" ht="47.2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row>
    <row r="60" ht="47.2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row>
    <row r="61" ht="47.2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row>
    <row r="62" ht="47.2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row>
    <row r="63" ht="47.2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row>
    <row r="64" ht="47.2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row>
    <row r="65" ht="47.2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row>
    <row r="66" ht="47.2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row>
    <row r="67" ht="47.2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row>
    <row r="68" ht="47.2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row>
    <row r="69" ht="47.2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row>
    <row r="70" ht="47.2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row>
    <row r="71" ht="47.2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row>
    <row r="72" ht="47.2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row>
    <row r="73" ht="47.2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row>
    <row r="74" ht="47.2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row>
    <row r="75" ht="47.2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row>
    <row r="76" ht="47.2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row>
    <row r="77" ht="47.2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row>
    <row r="78" ht="47.2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row>
    <row r="79" ht="47.2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row>
    <row r="80" ht="47.2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row>
    <row r="81" ht="47.2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row>
    <row r="82" ht="47.2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row>
    <row r="83" ht="47.2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row>
    <row r="84" ht="47.2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row>
    <row r="85" ht="47.2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row>
    <row r="86" ht="47.2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row>
    <row r="87" ht="47.2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row>
    <row r="88" ht="47.2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row>
    <row r="89" ht="47.2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row>
    <row r="90" ht="47.2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row>
    <row r="91" ht="47.2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row>
    <row r="92" ht="47.2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row>
    <row r="93" ht="47.2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row>
    <row r="94" ht="47.2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row>
    <row r="95" ht="47.2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row>
    <row r="96" ht="47.2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row>
    <row r="97" ht="47.2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row>
    <row r="98" ht="47.2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row>
    <row r="99" ht="47.2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row>
    <row r="100" ht="47.2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row>
    <row r="101" ht="47.2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row>
    <row r="102" ht="47.2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row>
    <row r="103" ht="47.2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row>
    <row r="104" ht="47.2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row>
    <row r="105" ht="47.2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row>
    <row r="106" ht="47.2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row>
    <row r="107" ht="47.2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row>
    <row r="108" ht="47.2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row>
    <row r="109" ht="47.2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row>
    <row r="110" ht="47.2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row>
    <row r="111" ht="47.2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row>
    <row r="112" ht="47.2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row>
    <row r="113" ht="47.2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row>
    <row r="114" ht="47.2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row>
    <row r="115" ht="47.2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row>
    <row r="116" ht="47.2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row>
    <row r="117" ht="47.2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row>
    <row r="118" ht="47.2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row>
    <row r="119" ht="47.2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row>
    <row r="120" ht="47.2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row>
    <row r="121" ht="47.2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row>
    <row r="122" ht="47.2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row>
    <row r="123" ht="47.2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row>
    <row r="124" ht="47.2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row>
    <row r="125" ht="47.2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row>
    <row r="126" ht="47.2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row>
    <row r="127" ht="47.2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row>
    <row r="128" ht="47.2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row>
    <row r="129" ht="47.2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row>
    <row r="130" ht="47.2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row>
    <row r="131" ht="47.2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row>
    <row r="132" ht="47.2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row>
    <row r="133" ht="47.2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row>
    <row r="134" ht="47.2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row>
    <row r="135" ht="47.2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row>
    <row r="136" ht="47.2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row>
    <row r="137" ht="47.2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row>
    <row r="138" ht="47.2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row>
    <row r="139" ht="47.2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row>
    <row r="140" ht="47.2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row>
    <row r="141" ht="47.2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row>
    <row r="142" ht="47.2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row>
    <row r="143" ht="47.2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row>
    <row r="144" ht="47.2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row>
    <row r="145" ht="47.2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row>
    <row r="146" ht="47.2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row>
    <row r="147" ht="47.2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row>
    <row r="148" ht="47.2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row>
    <row r="149" ht="47.2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row>
    <row r="150" ht="47.2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row>
    <row r="151" ht="47.2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row>
    <row r="152" ht="47.2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row>
    <row r="153" ht="47.2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row>
    <row r="154" ht="47.2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row>
    <row r="155" ht="47.2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row>
    <row r="156" ht="47.2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row>
    <row r="157" ht="47.2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row>
    <row r="158" ht="47.2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row>
    <row r="159" ht="47.2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row>
    <row r="160" ht="47.2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row>
    <row r="161" ht="47.2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row>
    <row r="162" ht="47.2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row>
    <row r="163" ht="47.2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row>
    <row r="164" ht="47.2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row>
    <row r="165" ht="47.2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row>
    <row r="166" ht="47.2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row>
    <row r="167" ht="47.2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row>
    <row r="168" ht="47.2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row>
    <row r="169" ht="47.2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row>
    <row r="170" ht="47.2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row>
    <row r="171" ht="47.2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row>
    <row r="172" ht="47.2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row>
    <row r="173" ht="47.2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row>
    <row r="174" ht="47.2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row>
    <row r="175" ht="47.2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row>
    <row r="176" ht="47.2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row>
    <row r="177" ht="47.2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row>
    <row r="178" ht="47.2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row>
    <row r="179" ht="47.2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row>
    <row r="180" ht="47.2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row>
    <row r="181" ht="47.2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row>
    <row r="182" ht="47.2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row>
    <row r="183" ht="47.2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row>
    <row r="184" ht="47.2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row>
    <row r="185" ht="47.2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row>
    <row r="186" ht="47.2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row>
    <row r="187" ht="47.2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row>
    <row r="188" ht="47.2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row>
    <row r="189" ht="47.2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row>
    <row r="190" ht="47.2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row>
    <row r="191" ht="47.2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row>
    <row r="192" ht="47.2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row>
    <row r="193" ht="47.2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row>
    <row r="194" ht="47.2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row>
    <row r="195" ht="47.2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row>
    <row r="196" ht="47.2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row>
    <row r="197" ht="47.2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row>
    <row r="198" ht="47.2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row>
    <row r="199" ht="47.2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row>
    <row r="200" ht="47.2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row>
    <row r="201" ht="47.2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row>
    <row r="202" ht="47.2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row>
    <row r="203" ht="47.2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row>
    <row r="204" ht="47.2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row>
    <row r="205" ht="47.2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row>
    <row r="206" ht="47.2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row>
    <row r="207" ht="47.2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row>
    <row r="208" ht="47.2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row>
    <row r="209" ht="47.2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row>
    <row r="210" ht="47.2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row>
    <row r="211" ht="47.2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row>
    <row r="212" ht="47.2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row>
    <row r="213" ht="47.2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row>
    <row r="214" ht="47.2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row>
    <row r="215" ht="47.2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row>
    <row r="216" ht="47.2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row>
    <row r="217" ht="47.2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row>
    <row r="218" ht="47.2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row>
    <row r="219" ht="47.2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row>
    <row r="220" ht="47.2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row>
    <row r="221" ht="47.2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row>
    <row r="222" ht="47.2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row>
    <row r="223" ht="47.2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row>
    <row r="224" ht="47.2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row>
    <row r="225" ht="47.2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row>
    <row r="226" ht="47.2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row>
    <row r="227" ht="47.2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row>
    <row r="228" ht="47.2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row>
    <row r="229" ht="47.2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row>
    <row r="230" ht="47.2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row>
    <row r="231" ht="47.2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row>
    <row r="232" ht="47.2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row>
    <row r="233" ht="47.2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row>
    <row r="234" ht="47.2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row>
    <row r="235" ht="47.2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row>
    <row r="236" ht="47.2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row>
    <row r="237" ht="47.2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row>
    <row r="238" ht="47.2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row>
    <row r="239" ht="47.2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row>
    <row r="240" ht="47.2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row>
    <row r="241" ht="47.2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row>
    <row r="242" ht="47.2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row>
    <row r="243" ht="47.2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row>
    <row r="244" ht="47.2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row>
    <row r="245" ht="47.2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row>
    <row r="246" ht="47.2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row>
    <row r="247" ht="47.2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row>
    <row r="248" ht="47.2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row>
    <row r="249" ht="47.2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row>
    <row r="250" ht="47.2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row>
    <row r="251" ht="47.2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row>
    <row r="252" ht="47.2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row>
    <row r="253" ht="47.2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row>
    <row r="254" ht="47.2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row>
    <row r="255" ht="47.2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row>
    <row r="256" ht="47.2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row>
    <row r="257" ht="47.2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row>
    <row r="258" ht="47.2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row>
    <row r="259" ht="47.2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row>
    <row r="260" ht="47.2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row>
    <row r="261" ht="47.2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row>
    <row r="262" ht="47.2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row>
    <row r="263" ht="47.2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row>
    <row r="264" ht="47.2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row>
    <row r="265" ht="47.2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row>
    <row r="266" ht="47.2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row>
    <row r="267" ht="47.2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row>
    <row r="268" ht="47.2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row>
    <row r="269" ht="47.2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row>
    <row r="270" ht="47.2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row>
    <row r="271" ht="47.2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row>
    <row r="272" ht="47.2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row>
    <row r="273" ht="47.2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row>
    <row r="274" ht="47.2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row>
    <row r="275" ht="47.2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row>
    <row r="276" ht="47.2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row>
    <row r="277" ht="47.2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row>
    <row r="278" ht="47.2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row>
    <row r="279" ht="47.2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row>
    <row r="280" ht="47.2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row>
    <row r="281" ht="47.2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row>
    <row r="282" ht="47.2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row>
    <row r="283" ht="47.2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row>
    <row r="284" ht="47.2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row>
    <row r="285" ht="47.2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row>
    <row r="286" ht="47.2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row>
    <row r="287" ht="47.2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row>
    <row r="288" ht="47.2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row>
    <row r="289" ht="47.2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row>
    <row r="290" ht="47.2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row>
    <row r="291" ht="47.2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row>
    <row r="292" ht="47.2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row>
    <row r="293" ht="47.2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row>
    <row r="294" ht="47.2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row>
    <row r="295" ht="47.2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row>
    <row r="296" ht="47.2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row>
    <row r="297" ht="47.2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row>
    <row r="298" ht="47.2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row>
    <row r="299" ht="47.2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row>
    <row r="300" ht="47.2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row>
    <row r="301" ht="47.2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row>
    <row r="302" ht="47.2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row>
    <row r="303" ht="47.2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row>
    <row r="304" ht="47.2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row>
    <row r="305" ht="47.2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row>
    <row r="306" ht="47.2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row>
    <row r="307" ht="47.2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row>
    <row r="308" ht="47.2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row>
    <row r="309" ht="47.2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row>
    <row r="310" ht="47.2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row>
    <row r="311" ht="47.2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row>
    <row r="312" ht="47.2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row>
    <row r="313" ht="47.2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row>
    <row r="314" ht="47.2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row>
    <row r="315" ht="47.2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row>
    <row r="316" ht="47.2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row>
    <row r="317" ht="47.2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row>
    <row r="318" ht="47.2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row>
    <row r="319" ht="47.2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row>
    <row r="320" ht="47.2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row>
    <row r="321" ht="47.2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row>
    <row r="322" ht="47.2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row>
    <row r="323" ht="47.2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row>
    <row r="324" ht="47.2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row>
    <row r="325" ht="47.2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row>
    <row r="326" ht="47.2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row>
    <row r="327" ht="47.2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row>
    <row r="328" ht="47.2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row>
    <row r="329" ht="47.2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row>
    <row r="330" ht="47.2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row>
    <row r="331" ht="47.2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row>
    <row r="332" ht="47.2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row>
    <row r="333" ht="47.2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row>
    <row r="334" ht="47.2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row>
    <row r="335" ht="47.2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row>
    <row r="336" ht="47.2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row>
    <row r="337" ht="47.2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row>
    <row r="338" ht="47.2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row>
    <row r="339" ht="47.2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row>
    <row r="340" ht="47.2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row>
    <row r="341" ht="47.2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row>
    <row r="342" ht="47.2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row>
    <row r="343" ht="47.2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row>
    <row r="344" ht="47.2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row>
    <row r="345" ht="47.2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row>
    <row r="346" ht="47.2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row>
    <row r="347" ht="47.2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row>
    <row r="348" ht="47.2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row>
    <row r="349" ht="47.2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row>
    <row r="350" ht="47.2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row>
    <row r="351" ht="47.2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row>
    <row r="352" ht="47.2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row>
    <row r="353" ht="47.2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row>
    <row r="354" ht="47.2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row>
    <row r="355" ht="47.2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row>
    <row r="356" ht="47.2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row>
    <row r="357" ht="47.2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row>
    <row r="358" ht="47.2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row>
    <row r="359" ht="47.2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row>
    <row r="360" ht="47.2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row>
    <row r="361" ht="47.2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row>
    <row r="362" ht="47.2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row>
    <row r="363" ht="47.2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row>
    <row r="364" ht="47.2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row>
    <row r="365" ht="47.2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row>
    <row r="366" ht="47.2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row>
    <row r="367" ht="47.2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row>
    <row r="368" ht="47.2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row>
    <row r="369" ht="47.2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row>
    <row r="370" ht="47.2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row>
    <row r="371" ht="47.2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row>
    <row r="372" ht="47.2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row>
    <row r="373" ht="47.2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row>
    <row r="374" ht="47.2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row>
    <row r="375" ht="47.2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row>
    <row r="376" ht="47.2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row>
    <row r="377" ht="47.2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row>
    <row r="378" ht="47.2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row>
    <row r="379" ht="47.2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row>
    <row r="380" ht="47.2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row>
    <row r="381" ht="47.2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row>
    <row r="382" ht="47.2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row>
    <row r="383" ht="47.2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row>
    <row r="384" ht="47.2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row>
    <row r="385" ht="47.2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row>
    <row r="386" ht="47.2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row>
    <row r="387" ht="47.2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row>
    <row r="388" ht="47.2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row>
    <row r="389" ht="47.2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row>
    <row r="390" ht="47.2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row>
    <row r="391" ht="47.2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row>
    <row r="392" ht="47.2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row>
    <row r="393" ht="47.2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row>
    <row r="394" ht="47.2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row>
    <row r="395" ht="47.2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row>
    <row r="396" ht="47.2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row>
    <row r="397" ht="47.2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row>
    <row r="398" ht="47.2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row>
    <row r="399" ht="47.2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row>
    <row r="400" ht="47.2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row>
    <row r="401" ht="47.2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row>
    <row r="402" ht="47.2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row>
    <row r="403" ht="47.2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row>
    <row r="404" ht="47.2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row>
    <row r="405" ht="47.2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row>
    <row r="406" ht="47.2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row>
    <row r="407" ht="47.2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row>
    <row r="408" ht="47.2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row>
    <row r="409" ht="47.2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row>
    <row r="410" ht="47.2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row>
    <row r="411" ht="47.2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row>
    <row r="412" ht="47.2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row>
    <row r="413" ht="47.2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row>
    <row r="414" ht="47.2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row>
    <row r="415" ht="47.2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row>
    <row r="416" ht="47.2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row>
    <row r="417" ht="47.2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row>
    <row r="418" ht="47.2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row>
    <row r="419" ht="47.2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row>
    <row r="420" ht="47.2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row>
    <row r="421" ht="47.2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row>
    <row r="422" ht="47.2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row>
    <row r="423" ht="47.2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row>
    <row r="424" ht="47.2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row>
    <row r="425" ht="47.2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row>
    <row r="426" ht="47.2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row>
    <row r="427" ht="47.2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row>
    <row r="428" ht="47.2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row>
    <row r="429" ht="47.2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row>
    <row r="430" ht="47.2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row>
    <row r="431" ht="47.2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row>
    <row r="432" ht="47.2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row>
    <row r="433" ht="47.2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row>
    <row r="434" ht="47.2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row>
    <row r="435" ht="47.2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row>
    <row r="436" ht="47.2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row>
    <row r="437" ht="47.2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row>
    <row r="438" ht="47.2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row>
    <row r="439" ht="47.2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row>
    <row r="440" ht="47.2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row>
    <row r="441" ht="47.2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row>
    <row r="442" ht="47.2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row>
    <row r="443" ht="47.2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row>
    <row r="444" ht="47.2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row>
    <row r="445" ht="47.2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row>
    <row r="446" ht="47.2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row>
    <row r="447" ht="47.2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row>
    <row r="448" ht="47.2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row>
    <row r="449" ht="47.2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row>
    <row r="450" ht="47.2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row>
    <row r="451" ht="47.2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row>
    <row r="452" ht="47.2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row>
    <row r="453" ht="47.2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row>
    <row r="454" ht="47.2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row>
    <row r="455" ht="47.2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row>
    <row r="456" ht="47.2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row>
    <row r="457" ht="47.2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row>
    <row r="458" ht="47.2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row>
    <row r="459" ht="47.2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row>
    <row r="460" ht="47.2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row>
    <row r="461" ht="47.2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row>
    <row r="462" ht="47.2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row>
    <row r="463" ht="47.2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row>
    <row r="464" ht="47.2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row>
    <row r="465" ht="47.2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row>
    <row r="466" ht="47.2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row>
    <row r="467" ht="47.2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row>
    <row r="468" ht="47.2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row>
    <row r="469" ht="47.2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row>
    <row r="470" ht="47.2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row>
    <row r="471" ht="47.2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row>
    <row r="472" ht="47.2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row>
    <row r="473" ht="47.2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row>
    <row r="474" ht="47.2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row>
    <row r="475" ht="47.2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row>
    <row r="476" ht="47.2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row>
    <row r="477" ht="47.2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row>
    <row r="478" ht="47.2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row>
    <row r="479" ht="47.2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row>
    <row r="480" ht="47.2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row>
    <row r="481" ht="47.2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row>
    <row r="482" ht="47.2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row>
    <row r="483" ht="47.2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row>
    <row r="484" ht="47.2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row>
    <row r="485" ht="47.2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row>
    <row r="486" ht="47.2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row>
    <row r="487" ht="47.2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row>
    <row r="488" ht="47.2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row>
    <row r="489" ht="47.2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row>
    <row r="490" ht="47.2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row>
    <row r="491" ht="47.2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row>
    <row r="492" ht="47.2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row>
    <row r="493" ht="47.2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row>
    <row r="494" ht="47.2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row>
    <row r="495" ht="47.2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row>
    <row r="496" ht="47.2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row>
    <row r="497" ht="47.2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row>
    <row r="498" ht="47.2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row>
    <row r="499" ht="47.2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row>
    <row r="500" ht="47.2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row>
    <row r="501" ht="47.2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row>
    <row r="502" ht="47.2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row>
    <row r="503" ht="47.2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row>
    <row r="504" ht="47.2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row>
    <row r="505" ht="47.2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row>
    <row r="506" ht="47.2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row>
    <row r="507" ht="47.2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row>
    <row r="508" ht="47.2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row>
    <row r="509" ht="47.2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row>
    <row r="510" ht="47.2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row>
    <row r="511" ht="47.2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row>
    <row r="512" ht="47.2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row>
    <row r="513" ht="47.2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row>
    <row r="514" ht="47.2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row>
    <row r="515" ht="47.2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row>
    <row r="516" ht="47.2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row>
    <row r="517" ht="47.2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row>
    <row r="518" ht="47.2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row>
    <row r="519" ht="47.2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row>
    <row r="520" ht="47.2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row>
    <row r="521" ht="47.2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row>
    <row r="522" ht="47.2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row>
    <row r="523" ht="47.2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row>
    <row r="524" ht="47.2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row>
    <row r="525" ht="47.2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row>
    <row r="526" ht="47.2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row>
    <row r="527" ht="47.2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row>
    <row r="528" ht="47.2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row>
    <row r="529" ht="47.2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row>
    <row r="530" ht="47.2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row>
    <row r="531" ht="47.2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row>
    <row r="532" ht="47.2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row>
    <row r="533" ht="47.2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row>
    <row r="534" ht="47.2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row>
    <row r="535" ht="47.2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row>
    <row r="536" ht="47.2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row>
    <row r="537" ht="47.2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row>
    <row r="538" ht="47.2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row>
    <row r="539" ht="47.2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row>
    <row r="540" ht="47.2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row>
    <row r="541" ht="47.2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row>
    <row r="542" ht="47.2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row>
    <row r="543" ht="47.2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row>
    <row r="544" ht="47.2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row>
    <row r="545" ht="47.2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row>
    <row r="546" ht="47.2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row>
    <row r="547" ht="47.2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row>
    <row r="548" ht="47.2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row>
    <row r="549" ht="47.2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row>
    <row r="550" ht="47.2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row>
    <row r="551" ht="47.2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row>
    <row r="552" ht="47.2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row>
    <row r="553" ht="47.2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row>
    <row r="554" ht="47.2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row>
    <row r="555" ht="47.2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row>
    <row r="556" ht="47.2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row>
    <row r="557" ht="47.2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row>
    <row r="558" ht="47.2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row>
    <row r="559" ht="47.2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row>
    <row r="560" ht="47.2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row>
    <row r="561" ht="47.2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row>
    <row r="562" ht="47.2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row>
    <row r="563" ht="47.2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row>
    <row r="564" ht="47.2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row>
    <row r="565" ht="47.2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row>
    <row r="566" ht="47.2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row>
    <row r="567" ht="47.2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row>
    <row r="568" ht="47.2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row>
    <row r="569" ht="47.2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row>
    <row r="570" ht="47.2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row>
    <row r="571" ht="47.2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row>
    <row r="572" ht="47.2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row>
    <row r="573" ht="47.2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row>
    <row r="574" ht="47.2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row>
    <row r="575" ht="47.2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row>
    <row r="576" ht="47.2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row>
    <row r="577" ht="47.2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row>
    <row r="578" ht="47.2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row>
    <row r="579" ht="47.2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row>
    <row r="580" ht="47.2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row>
    <row r="581" ht="47.2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row>
    <row r="582" ht="47.2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row>
    <row r="583" ht="47.2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row>
    <row r="584" ht="47.2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row>
    <row r="585" ht="47.2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row>
    <row r="586" ht="47.2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row>
    <row r="587" ht="47.2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row>
    <row r="588" ht="47.2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row>
    <row r="589" ht="47.2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row>
    <row r="590" ht="47.2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row>
    <row r="591" ht="47.2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row>
    <row r="592" ht="47.2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row>
    <row r="593" ht="47.2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row>
    <row r="594" ht="47.2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row>
    <row r="595" ht="47.2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row>
    <row r="596" ht="47.2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row>
    <row r="597" ht="47.2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row>
    <row r="598" ht="47.2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row>
    <row r="599" ht="47.2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row>
    <row r="600" ht="47.2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row>
    <row r="601" ht="47.2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row>
    <row r="602" ht="47.2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row>
    <row r="603" ht="47.2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row>
    <row r="604" ht="47.2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row>
    <row r="605" ht="47.2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row>
    <row r="606" ht="47.2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row>
    <row r="607" ht="47.2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row>
    <row r="608" ht="47.2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row>
    <row r="609" ht="47.2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row>
    <row r="610" ht="47.2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row>
    <row r="611" ht="47.2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row>
    <row r="612" ht="47.2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row>
    <row r="613" ht="47.2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row>
    <row r="614" ht="47.2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row>
    <row r="615" ht="47.2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row>
    <row r="616" ht="47.2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row>
    <row r="617" ht="47.2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row>
    <row r="618" ht="47.2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row>
    <row r="619" ht="47.2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row>
    <row r="620" ht="47.2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row>
    <row r="621" ht="47.2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row>
    <row r="622" ht="47.2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row>
    <row r="623" ht="47.2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row>
    <row r="624" ht="47.2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row>
    <row r="625" ht="47.2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row>
    <row r="626" ht="47.2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row>
    <row r="627" ht="47.2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row>
    <row r="628" ht="47.2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row>
    <row r="629" ht="47.2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row>
    <row r="630" ht="47.2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row>
    <row r="631" ht="47.2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row>
    <row r="632" ht="47.2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row>
    <row r="633" ht="47.2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row>
    <row r="634" ht="47.2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row>
    <row r="635" ht="47.2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row>
    <row r="636" ht="47.2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row>
    <row r="637" ht="47.2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row>
    <row r="638" ht="47.2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row>
    <row r="639" ht="47.2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row>
    <row r="640" ht="47.2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row>
    <row r="641" ht="47.2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row>
    <row r="642" ht="47.2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row>
    <row r="643" ht="47.2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row>
    <row r="644" ht="47.2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row>
    <row r="645" ht="47.2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row>
    <row r="646" ht="47.2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row>
    <row r="647" ht="47.2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row>
    <row r="648" ht="47.2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row>
    <row r="649" ht="47.2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row>
    <row r="650" ht="47.2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row>
    <row r="651" ht="47.2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row>
    <row r="652" ht="47.2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row>
    <row r="653" ht="47.2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row>
    <row r="654" ht="47.2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row>
    <row r="655" ht="47.2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row>
    <row r="656" ht="47.2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row>
    <row r="657" ht="47.2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row>
    <row r="658" ht="47.2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row>
    <row r="659" ht="47.2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row>
    <row r="660" ht="47.2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row>
    <row r="661" ht="47.2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row>
    <row r="662" ht="47.2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row>
    <row r="663" ht="47.2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row>
    <row r="664" ht="47.2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row>
    <row r="665" ht="47.2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row>
    <row r="666" ht="47.2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row>
    <row r="667" ht="47.2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row>
    <row r="668" ht="47.2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row>
    <row r="669" ht="47.2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row>
    <row r="670" ht="47.2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row>
    <row r="671" ht="47.2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row>
    <row r="672" ht="47.2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row>
    <row r="673" ht="47.2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row>
    <row r="674" ht="47.2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row>
    <row r="675" ht="47.2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row>
    <row r="676" ht="47.2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row>
    <row r="677" ht="47.2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row>
    <row r="678" ht="47.2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row>
    <row r="679" ht="47.2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row>
    <row r="680" ht="47.2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row>
    <row r="681" ht="47.2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row>
    <row r="682" ht="47.2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row>
    <row r="683" ht="47.2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row>
    <row r="684" ht="47.2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row>
    <row r="685" ht="47.2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row>
    <row r="686" ht="47.2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row>
    <row r="687" ht="47.2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row>
    <row r="688" ht="47.2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row>
    <row r="689" ht="47.2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row>
    <row r="690" ht="47.2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row>
    <row r="691" ht="47.2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row>
    <row r="692" ht="47.2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row>
    <row r="693" ht="47.2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row>
    <row r="694" ht="47.2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row>
    <row r="695" ht="47.2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row>
    <row r="696" ht="47.2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row>
    <row r="697" ht="47.2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row>
    <row r="698" ht="47.2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row>
    <row r="699" ht="47.2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row>
    <row r="700" ht="47.2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row>
    <row r="701" ht="47.2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row>
    <row r="702" ht="47.2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row>
    <row r="703" ht="47.2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row>
    <row r="704" ht="47.2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row>
    <row r="705" ht="47.2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row>
    <row r="706" ht="47.2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row>
    <row r="707" ht="47.2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row>
    <row r="708" ht="47.2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row>
    <row r="709" ht="47.2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row>
    <row r="710" ht="47.2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row>
    <row r="711" ht="47.2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row>
    <row r="712" ht="47.2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row>
    <row r="713" ht="47.2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row>
    <row r="714" ht="47.2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row>
    <row r="715" ht="47.2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row>
    <row r="716" ht="47.2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row>
    <row r="717" ht="47.2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row>
    <row r="718" ht="47.2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row>
    <row r="719" ht="47.2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row>
    <row r="720" ht="47.2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row>
    <row r="721" ht="47.2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row>
    <row r="722" ht="47.2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row>
    <row r="723" ht="47.2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row>
    <row r="724" ht="47.2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row>
    <row r="725" ht="47.2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row>
    <row r="726" ht="47.2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row>
    <row r="727" ht="47.2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row>
    <row r="728" ht="47.2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row>
    <row r="729" ht="47.2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row>
    <row r="730" ht="47.2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row>
    <row r="731" ht="47.2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row>
    <row r="732" ht="47.2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row>
    <row r="733" ht="47.2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row>
    <row r="734" ht="47.2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row>
    <row r="735" ht="47.2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row>
    <row r="736" ht="47.2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row>
    <row r="737" ht="47.2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row>
    <row r="738" ht="47.2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row>
    <row r="739" ht="47.2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row>
    <row r="740" ht="47.2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row>
    <row r="741" ht="47.2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row>
    <row r="742" ht="47.2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row>
    <row r="743" ht="47.2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row>
    <row r="744" ht="47.2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row>
    <row r="745" ht="47.2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row>
    <row r="746" ht="47.2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row>
    <row r="747" ht="47.2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row>
    <row r="748" ht="47.2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row>
    <row r="749" ht="47.2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row>
    <row r="750" ht="47.2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row>
    <row r="751" ht="47.2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row>
    <row r="752" ht="47.2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row>
    <row r="753" ht="47.2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row>
    <row r="754" ht="47.2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row>
    <row r="755" ht="47.2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row>
    <row r="756" ht="47.2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row>
    <row r="757" ht="47.2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row>
    <row r="758" ht="47.2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row>
    <row r="759" ht="47.2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row>
    <row r="760" ht="47.2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row>
    <row r="761" ht="47.2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row>
    <row r="762" ht="47.2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row>
    <row r="763" ht="47.2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row>
    <row r="764" ht="47.2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row>
    <row r="765" ht="47.2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row>
    <row r="766" ht="47.2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row>
    <row r="767" ht="47.2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row>
    <row r="768" ht="47.2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row>
    <row r="769" ht="47.2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row>
    <row r="770" ht="47.2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row>
    <row r="771" ht="47.2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row>
    <row r="772" ht="47.2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row>
    <row r="773" ht="47.2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row>
    <row r="774" ht="47.2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row>
    <row r="775" ht="47.2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row>
    <row r="776" ht="47.2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row>
    <row r="777" ht="47.2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row>
    <row r="778" ht="47.2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row>
    <row r="779" ht="47.2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row>
    <row r="780" ht="47.2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row>
    <row r="781" ht="47.2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row>
    <row r="782" ht="47.2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row>
    <row r="783" ht="47.2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row>
    <row r="784" ht="47.2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row>
    <row r="785" ht="47.2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row>
    <row r="786" ht="47.2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row>
    <row r="787" ht="47.2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row>
    <row r="788" ht="47.2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row>
    <row r="789" ht="47.2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row>
    <row r="790" ht="47.2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row>
    <row r="791" ht="47.2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row>
    <row r="792" ht="47.2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row>
    <row r="793" ht="47.2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row>
    <row r="794" ht="47.2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row>
    <row r="795" ht="47.2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row>
    <row r="796" ht="47.2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row>
    <row r="797" ht="47.2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row>
    <row r="798" ht="47.2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row>
    <row r="799" ht="47.2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row>
    <row r="800" ht="47.2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row>
    <row r="801" ht="47.2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row>
    <row r="802" ht="47.2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row>
    <row r="803" ht="47.2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row>
    <row r="804" ht="47.2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row>
    <row r="805" ht="47.2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row>
    <row r="806" ht="47.2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row>
    <row r="807" ht="47.2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row>
    <row r="808" ht="47.2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row>
    <row r="809" ht="47.2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row>
    <row r="810" ht="47.2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row>
    <row r="811" ht="47.2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row>
    <row r="812" ht="47.2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row>
    <row r="813" ht="47.2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row>
    <row r="814" ht="47.2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row>
    <row r="815" ht="47.2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row>
    <row r="816" ht="47.2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row>
    <row r="817" ht="47.2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row>
    <row r="818" ht="47.2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row>
    <row r="819" ht="47.2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row>
    <row r="820" ht="47.2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row>
    <row r="821" ht="47.2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row>
    <row r="822" ht="47.2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row>
    <row r="823" ht="47.2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row>
    <row r="824" ht="47.2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row>
    <row r="825" ht="47.2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row>
    <row r="826" ht="47.2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row>
    <row r="827" ht="47.2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row>
    <row r="828" ht="47.2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row>
    <row r="829" ht="47.2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row>
    <row r="830" ht="47.2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row>
    <row r="831" ht="47.2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row>
    <row r="832" ht="47.2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row>
    <row r="833" ht="47.2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row>
    <row r="834" ht="47.2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row>
    <row r="835" ht="47.2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row>
    <row r="836" ht="47.2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row>
    <row r="837" ht="47.2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row>
    <row r="838" ht="47.2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row>
    <row r="839" ht="47.2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row>
    <row r="840" ht="47.2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row>
    <row r="841" ht="47.2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row>
    <row r="842" ht="47.2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row>
    <row r="843" ht="47.2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row>
    <row r="844" ht="47.2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row>
    <row r="845" ht="47.2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row>
    <row r="846" ht="47.2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row>
    <row r="847" ht="47.2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row>
    <row r="848" ht="47.2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row>
    <row r="849" ht="47.2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row>
    <row r="850" ht="47.2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row>
    <row r="851" ht="47.2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row>
    <row r="852" ht="47.2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row>
    <row r="853" ht="47.2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row>
    <row r="854" ht="47.2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row>
    <row r="855" ht="47.2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row>
    <row r="856" ht="47.2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row>
    <row r="857" ht="47.2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row>
    <row r="858" ht="47.2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row>
    <row r="859" ht="47.2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row>
    <row r="860" ht="47.2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row>
    <row r="861" ht="47.2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row>
    <row r="862" ht="47.2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row>
    <row r="863" ht="47.2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row>
    <row r="864" ht="47.2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row>
    <row r="865" ht="47.2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row>
    <row r="866" ht="47.2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row>
    <row r="867" ht="47.2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row>
    <row r="868" ht="47.2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row>
    <row r="869" ht="47.2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row>
    <row r="870" ht="47.2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row>
    <row r="871" ht="47.2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row>
    <row r="872" ht="47.2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row>
    <row r="873" ht="47.2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row>
    <row r="874" ht="47.2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row>
    <row r="875" ht="47.2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row>
    <row r="876" ht="47.2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row>
    <row r="877" ht="47.2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row>
    <row r="878" ht="47.2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row>
    <row r="879" ht="47.2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row>
    <row r="880" ht="47.2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row>
    <row r="881" ht="47.2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row>
    <row r="882" ht="47.2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row>
    <row r="883" ht="47.2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row>
    <row r="884" ht="47.2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row>
    <row r="885" ht="47.2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row>
    <row r="886" ht="47.2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row>
    <row r="887" ht="47.2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row>
    <row r="888" ht="47.2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row>
    <row r="889" ht="47.2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row>
    <row r="890" ht="47.2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row>
    <row r="891" ht="47.2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row>
    <row r="892" ht="47.2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row>
    <row r="893" ht="47.2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row>
    <row r="894" ht="47.2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row>
    <row r="895" ht="47.2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row>
    <row r="896" ht="47.2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row>
    <row r="897" ht="47.2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row>
    <row r="898" ht="47.2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row>
    <row r="899" ht="47.2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row>
    <row r="900" ht="47.2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row>
    <row r="901" ht="47.2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row>
    <row r="902" ht="47.2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row>
    <row r="903" ht="47.2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row>
    <row r="904" ht="47.2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row>
    <row r="905" ht="47.2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row>
    <row r="906" ht="47.2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row>
    <row r="907" ht="47.2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row>
    <row r="908" ht="47.2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row>
    <row r="909" ht="47.2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row>
    <row r="910" ht="47.2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row>
    <row r="911" ht="47.2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row>
    <row r="912" ht="47.2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row>
    <row r="913" ht="47.2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row>
    <row r="914" ht="47.2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row>
    <row r="915" ht="47.2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row>
    <row r="916" ht="47.2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row>
    <row r="917" ht="47.2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row>
    <row r="918" ht="47.2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row>
    <row r="919" ht="47.2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row>
    <row r="920" ht="47.2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row>
    <row r="921" ht="47.2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row>
    <row r="922" ht="47.2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row>
    <row r="923" ht="47.2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row>
    <row r="924" ht="47.2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row>
    <row r="925" ht="47.2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row>
    <row r="926" ht="47.2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row>
    <row r="927" ht="47.2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row>
    <row r="928" ht="47.2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row>
    <row r="929" ht="47.2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row>
    <row r="930" ht="47.2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row>
    <row r="931" ht="47.2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row>
    <row r="932" ht="47.2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row>
    <row r="933" ht="47.2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row>
    <row r="934" ht="47.2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row>
    <row r="935" ht="47.2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row>
    <row r="936" ht="47.2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row>
    <row r="937" ht="47.2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row>
    <row r="938" ht="47.2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row>
    <row r="939" ht="47.2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row>
    <row r="940" ht="47.2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row>
    <row r="941" ht="47.2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row>
    <row r="942" ht="47.2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row>
    <row r="943" ht="47.2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row>
    <row r="944" ht="47.2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row>
    <row r="945" ht="47.2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row>
    <row r="946" ht="47.2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row>
    <row r="947" ht="47.2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row>
    <row r="948" ht="47.2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row>
    <row r="949" ht="47.2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row>
    <row r="950" ht="47.2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row>
    <row r="951" ht="47.2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row>
    <row r="952" ht="47.2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row>
    <row r="953" ht="47.2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row>
    <row r="954" ht="47.2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row>
    <row r="955" ht="47.2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row>
    <row r="956" ht="47.2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row>
    <row r="957" ht="47.2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row>
    <row r="958" ht="47.2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row>
    <row r="959" ht="47.2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row>
    <row r="960" ht="47.2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row>
    <row r="961" ht="47.2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row>
    <row r="962" ht="47.2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row>
    <row r="963" ht="47.2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row>
    <row r="964" ht="47.2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row>
    <row r="965" ht="47.2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row>
    <row r="966" ht="47.2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row>
    <row r="967" ht="47.2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row>
    <row r="968" ht="47.2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row>
    <row r="969" ht="47.2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row>
    <row r="970" ht="47.2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row>
    <row r="971" ht="47.2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row>
    <row r="972" ht="47.2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row>
    <row r="973" ht="47.2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row>
    <row r="974" ht="47.2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row>
    <row r="975" ht="47.2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row>
    <row r="976" ht="47.2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row>
    <row r="977" ht="47.2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row>
    <row r="978" ht="47.2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row>
    <row r="979" ht="47.2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row>
    <row r="980" ht="47.2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row>
    <row r="981" ht="47.2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row>
    <row r="982" ht="47.2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row>
    <row r="983" ht="47.2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row>
    <row r="984" ht="47.2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row>
    <row r="985" ht="47.2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row>
    <row r="986" ht="47.2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row>
    <row r="987" ht="47.2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row>
    <row r="988" ht="47.2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row>
    <row r="989" ht="47.2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row>
    <row r="990" ht="47.2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row>
    <row r="991" ht="47.2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row>
    <row r="992" ht="47.2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row>
    <row r="993" ht="47.2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row>
    <row r="994" ht="47.2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row>
    <row r="995" ht="47.2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row>
    <row r="996" ht="47.2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row>
    <row r="997" ht="47.2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row>
    <row r="998" ht="47.2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row>
    <row r="999" ht="47.2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row>
    <row r="1000" ht="47.2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row>
    <row r="1001" ht="47.25" customHeight="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c r="AA1001" s="22"/>
    </row>
  </sheetData>
  <mergeCells count="106">
    <mergeCell ref="H3:H5"/>
    <mergeCell ref="I3:I5"/>
    <mergeCell ref="H6:H8"/>
    <mergeCell ref="I6:I8"/>
    <mergeCell ref="H9:H11"/>
    <mergeCell ref="I9:I11"/>
    <mergeCell ref="J3:J5"/>
    <mergeCell ref="K3:K5"/>
    <mergeCell ref="J6:J8"/>
    <mergeCell ref="K6:K8"/>
    <mergeCell ref="J9:J11"/>
    <mergeCell ref="K9:K11"/>
    <mergeCell ref="L3:L5"/>
    <mergeCell ref="M3:M5"/>
    <mergeCell ref="L6:L8"/>
    <mergeCell ref="M6:M8"/>
    <mergeCell ref="L9:L11"/>
    <mergeCell ref="M9:M11"/>
    <mergeCell ref="N3:N5"/>
    <mergeCell ref="O3:O5"/>
    <mergeCell ref="N6:N8"/>
    <mergeCell ref="O6:O8"/>
    <mergeCell ref="N9:N11"/>
    <mergeCell ref="O9:O11"/>
    <mergeCell ref="P3:P5"/>
    <mergeCell ref="Q3:Q5"/>
    <mergeCell ref="P6:P8"/>
    <mergeCell ref="Q6:Q8"/>
    <mergeCell ref="R6:R8"/>
    <mergeCell ref="P9:P11"/>
    <mergeCell ref="Q9:Q11"/>
    <mergeCell ref="R9:R11"/>
    <mergeCell ref="A1:A2"/>
    <mergeCell ref="D1:E1"/>
    <mergeCell ref="B2:E2"/>
    <mergeCell ref="F2:G2"/>
    <mergeCell ref="I2:M2"/>
    <mergeCell ref="N2:R2"/>
    <mergeCell ref="A3:A5"/>
    <mergeCell ref="R3:R5"/>
    <mergeCell ref="A9:A11"/>
    <mergeCell ref="B9:B11"/>
    <mergeCell ref="B21:B23"/>
    <mergeCell ref="C21:C23"/>
    <mergeCell ref="B3:B5"/>
    <mergeCell ref="C3:C5"/>
    <mergeCell ref="F3:F23"/>
    <mergeCell ref="G3:G23"/>
    <mergeCell ref="B6:B8"/>
    <mergeCell ref="C6:C8"/>
    <mergeCell ref="C9:C11"/>
    <mergeCell ref="O21:O23"/>
    <mergeCell ref="P21:P23"/>
    <mergeCell ref="H21:H23"/>
    <mergeCell ref="I21:I23"/>
    <mergeCell ref="J21:J23"/>
    <mergeCell ref="K21:K23"/>
    <mergeCell ref="L21:L23"/>
    <mergeCell ref="M21:M23"/>
    <mergeCell ref="N21:N23"/>
    <mergeCell ref="A6:A8"/>
    <mergeCell ref="A12:A14"/>
    <mergeCell ref="A15:A17"/>
    <mergeCell ref="A18:A20"/>
    <mergeCell ref="A21:A23"/>
    <mergeCell ref="M12:M14"/>
    <mergeCell ref="N12:N14"/>
    <mergeCell ref="O12:O14"/>
    <mergeCell ref="P12:P14"/>
    <mergeCell ref="Q12:Q14"/>
    <mergeCell ref="R12:R14"/>
    <mergeCell ref="B12:B14"/>
    <mergeCell ref="C12:C14"/>
    <mergeCell ref="H12:H14"/>
    <mergeCell ref="I12:I14"/>
    <mergeCell ref="J12:J14"/>
    <mergeCell ref="K12:K14"/>
    <mergeCell ref="L12:L14"/>
    <mergeCell ref="M15:M17"/>
    <mergeCell ref="N15:N17"/>
    <mergeCell ref="O15:O17"/>
    <mergeCell ref="P15:P17"/>
    <mergeCell ref="Q15:Q17"/>
    <mergeCell ref="R15:R17"/>
    <mergeCell ref="B15:B17"/>
    <mergeCell ref="C15:C17"/>
    <mergeCell ref="H15:H17"/>
    <mergeCell ref="I15:I17"/>
    <mergeCell ref="J15:J17"/>
    <mergeCell ref="K15:K17"/>
    <mergeCell ref="L15:L17"/>
    <mergeCell ref="M18:M20"/>
    <mergeCell ref="N18:N20"/>
    <mergeCell ref="O18:O20"/>
    <mergeCell ref="P18:P20"/>
    <mergeCell ref="Q18:Q20"/>
    <mergeCell ref="R18:R20"/>
    <mergeCell ref="Q21:Q23"/>
    <mergeCell ref="R21:R23"/>
    <mergeCell ref="B18:B20"/>
    <mergeCell ref="C18:C20"/>
    <mergeCell ref="H18:H20"/>
    <mergeCell ref="I18:I20"/>
    <mergeCell ref="J18:J20"/>
    <mergeCell ref="K18:K20"/>
    <mergeCell ref="L18:L2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3" max="3" width="80.13"/>
    <col customWidth="1" min="4" max="4" width="23.75"/>
  </cols>
  <sheetData>
    <row r="1">
      <c r="A1" s="1" t="s">
        <v>0</v>
      </c>
    </row>
    <row r="2">
      <c r="A2" s="2"/>
    </row>
    <row r="3">
      <c r="A3" s="2" t="s">
        <v>1</v>
      </c>
    </row>
    <row r="4">
      <c r="A4" s="2" t="s">
        <v>2</v>
      </c>
    </row>
    <row r="5">
      <c r="A5" s="2" t="s">
        <v>3</v>
      </c>
    </row>
    <row r="6">
      <c r="A6" s="2" t="s">
        <v>4</v>
      </c>
    </row>
    <row r="7">
      <c r="A7" s="2" t="s">
        <v>5</v>
      </c>
    </row>
    <row r="8">
      <c r="A8" s="2" t="s">
        <v>6</v>
      </c>
    </row>
    <row r="9">
      <c r="A9" s="2"/>
    </row>
    <row r="10">
      <c r="A10" s="2" t="s">
        <v>7</v>
      </c>
    </row>
    <row r="11">
      <c r="A11" s="2" t="s">
        <v>8</v>
      </c>
    </row>
    <row r="12">
      <c r="A12" s="2" t="s">
        <v>9</v>
      </c>
    </row>
    <row r="13">
      <c r="A13" s="2" t="s">
        <v>10</v>
      </c>
    </row>
    <row r="14">
      <c r="A14" s="2"/>
    </row>
    <row r="15">
      <c r="A15" s="2" t="s">
        <v>11</v>
      </c>
    </row>
    <row r="16">
      <c r="A16" s="2" t="s">
        <v>12</v>
      </c>
      <c r="B16" s="2" t="s">
        <v>13</v>
      </c>
      <c r="C16" s="2" t="s">
        <v>14</v>
      </c>
      <c r="D16" s="2" t="s">
        <v>15</v>
      </c>
    </row>
    <row r="17">
      <c r="A17" s="2">
        <v>1.0</v>
      </c>
      <c r="B17" s="2" t="s">
        <v>16</v>
      </c>
      <c r="C17" s="2">
        <v>1.0</v>
      </c>
      <c r="D17" s="2" t="s">
        <v>17</v>
      </c>
    </row>
    <row r="18">
      <c r="A18" s="2">
        <v>2.0</v>
      </c>
      <c r="B18" s="2" t="s">
        <v>18</v>
      </c>
      <c r="C18" s="2">
        <v>2.0</v>
      </c>
      <c r="D18" s="2" t="s">
        <v>19</v>
      </c>
      <c r="H18" s="4"/>
    </row>
    <row r="19">
      <c r="A19" s="2">
        <v>3.0</v>
      </c>
      <c r="B19" s="2" t="s">
        <v>21</v>
      </c>
      <c r="C19" s="2">
        <v>5.0</v>
      </c>
      <c r="D19" s="2" t="s">
        <v>22</v>
      </c>
    </row>
    <row r="20">
      <c r="A20" s="2">
        <v>4.0</v>
      </c>
      <c r="B20" s="2" t="s">
        <v>24</v>
      </c>
      <c r="C20" s="2">
        <v>4.0</v>
      </c>
      <c r="D20" s="2" t="s">
        <v>26</v>
      </c>
    </row>
    <row r="21">
      <c r="A21" s="2">
        <v>5.0</v>
      </c>
      <c r="B21" s="2" t="s">
        <v>27</v>
      </c>
      <c r="C21" s="2">
        <v>3.0</v>
      </c>
      <c r="D21" s="2" t="s">
        <v>28</v>
      </c>
    </row>
    <row r="22">
      <c r="A22" s="2">
        <v>6.0</v>
      </c>
      <c r="B22" s="2" t="s">
        <v>29</v>
      </c>
      <c r="C22" s="2">
        <v>4.0</v>
      </c>
      <c r="D22" s="2" t="s">
        <v>26</v>
      </c>
    </row>
    <row r="23">
      <c r="A23" s="2">
        <v>7.0</v>
      </c>
      <c r="B23" s="2" t="s">
        <v>30</v>
      </c>
      <c r="C23" s="2">
        <v>5.0</v>
      </c>
      <c r="D23" s="2" t="s">
        <v>22</v>
      </c>
    </row>
    <row r="24">
      <c r="B24" s="2" t="s">
        <v>34</v>
      </c>
      <c r="C24" s="11">
        <f>SUM(C17:C23)</f>
        <v>24</v>
      </c>
    </row>
    <row r="25">
      <c r="B25" s="2" t="s">
        <v>41</v>
      </c>
      <c r="C25" s="11">
        <f>ROUND((C24/35)*120.2,0)</f>
        <v>82</v>
      </c>
    </row>
    <row r="26">
      <c r="A26" s="16"/>
    </row>
    <row r="27">
      <c r="A27" s="2" t="s">
        <v>45</v>
      </c>
    </row>
    <row r="28">
      <c r="A28" s="2" t="s">
        <v>46</v>
      </c>
    </row>
    <row r="29">
      <c r="A29" s="2" t="s">
        <v>47</v>
      </c>
    </row>
    <row r="30">
      <c r="A30" s="2" t="s">
        <v>48</v>
      </c>
    </row>
    <row r="31">
      <c r="A31" s="2" t="s">
        <v>49</v>
      </c>
    </row>
    <row r="32">
      <c r="A32" s="2" t="s">
        <v>50</v>
      </c>
    </row>
    <row r="34">
      <c r="A34" s="16"/>
    </row>
    <row r="35">
      <c r="A35" s="16"/>
    </row>
    <row r="36">
      <c r="A36" s="16"/>
    </row>
    <row r="42">
      <c r="A42"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25.13"/>
    <col customWidth="1" min="3" max="3" width="5.13"/>
    <col customWidth="1" min="4" max="4" width="25.13"/>
    <col customWidth="1" min="5" max="5" width="5.13"/>
    <col customWidth="1" min="6" max="6" width="25.13"/>
    <col customWidth="1" min="7" max="7" width="5.13"/>
    <col customWidth="1" min="8" max="8" width="25.13"/>
    <col customWidth="1" min="9" max="9" width="5.13"/>
    <col customWidth="1" min="10" max="10" width="25.13"/>
    <col customWidth="1" min="11" max="11" width="5.13"/>
    <col customWidth="1" min="12" max="12" width="25.13"/>
    <col customWidth="1" min="13" max="13" width="5.13"/>
    <col customWidth="1" min="14" max="14" width="25.13"/>
  </cols>
  <sheetData>
    <row r="1">
      <c r="A1" s="2" t="s">
        <v>153</v>
      </c>
    </row>
    <row r="3">
      <c r="A3" s="25" t="s">
        <v>16</v>
      </c>
      <c r="C3" s="25" t="s">
        <v>18</v>
      </c>
      <c r="E3" s="25" t="s">
        <v>21</v>
      </c>
      <c r="G3" s="25" t="s">
        <v>24</v>
      </c>
      <c r="I3" s="25" t="s">
        <v>27</v>
      </c>
      <c r="K3" s="25" t="s">
        <v>29</v>
      </c>
      <c r="M3" s="25" t="s">
        <v>30</v>
      </c>
    </row>
    <row r="4">
      <c r="A4" s="26" t="b">
        <v>1</v>
      </c>
      <c r="B4" s="20" t="s">
        <v>154</v>
      </c>
      <c r="C4" s="27" t="b">
        <v>0</v>
      </c>
      <c r="D4" s="20" t="s">
        <v>155</v>
      </c>
      <c r="E4" s="27" t="b">
        <v>0</v>
      </c>
      <c r="F4" s="20" t="s">
        <v>156</v>
      </c>
      <c r="G4" s="27" t="b">
        <v>0</v>
      </c>
      <c r="H4" s="20" t="s">
        <v>157</v>
      </c>
      <c r="I4" s="27" t="b">
        <v>0</v>
      </c>
      <c r="J4" s="20" t="s">
        <v>158</v>
      </c>
      <c r="K4" s="27" t="b">
        <v>0</v>
      </c>
      <c r="L4" s="20" t="s">
        <v>159</v>
      </c>
      <c r="M4" s="27" t="b">
        <v>0</v>
      </c>
      <c r="N4" s="28" t="s">
        <v>160</v>
      </c>
    </row>
    <row r="5">
      <c r="A5" s="27" t="b">
        <v>0</v>
      </c>
      <c r="B5" s="20" t="s">
        <v>161</v>
      </c>
      <c r="C5" s="27" t="b">
        <v>1</v>
      </c>
      <c r="D5" s="20" t="s">
        <v>162</v>
      </c>
      <c r="E5" s="29" t="b">
        <v>0</v>
      </c>
      <c r="F5" s="20" t="s">
        <v>163</v>
      </c>
      <c r="G5" s="27" t="b">
        <v>0</v>
      </c>
      <c r="H5" s="20" t="s">
        <v>164</v>
      </c>
      <c r="I5" s="29" t="b">
        <v>0</v>
      </c>
      <c r="J5" s="20" t="s">
        <v>165</v>
      </c>
      <c r="K5" s="29" t="b">
        <v>0</v>
      </c>
      <c r="L5" s="20" t="s">
        <v>166</v>
      </c>
      <c r="M5" s="29" t="b">
        <v>0</v>
      </c>
      <c r="N5" s="28" t="s">
        <v>167</v>
      </c>
    </row>
    <row r="6">
      <c r="A6" s="27" t="b">
        <v>0</v>
      </c>
      <c r="B6" s="20" t="s">
        <v>168</v>
      </c>
      <c r="C6" s="29" t="b">
        <v>0</v>
      </c>
      <c r="D6" s="20" t="s">
        <v>169</v>
      </c>
      <c r="E6" s="27" t="b">
        <v>1</v>
      </c>
      <c r="F6" s="20" t="s">
        <v>170</v>
      </c>
      <c r="G6" s="27" t="b">
        <v>1</v>
      </c>
      <c r="H6" s="20" t="s">
        <v>171</v>
      </c>
      <c r="I6" s="29" t="b">
        <v>0</v>
      </c>
      <c r="J6" s="20" t="s">
        <v>172</v>
      </c>
      <c r="K6" s="29" t="b">
        <v>0</v>
      </c>
      <c r="L6" s="20" t="s">
        <v>173</v>
      </c>
      <c r="M6" s="29" t="b">
        <v>0</v>
      </c>
      <c r="N6" s="28" t="s">
        <v>174</v>
      </c>
    </row>
    <row r="7">
      <c r="A7" s="27" t="b">
        <v>0</v>
      </c>
      <c r="B7" s="20" t="s">
        <v>175</v>
      </c>
      <c r="C7" s="27" t="b">
        <v>0</v>
      </c>
      <c r="D7" s="20" t="s">
        <v>176</v>
      </c>
      <c r="E7" s="27" t="b">
        <v>0</v>
      </c>
      <c r="F7" s="20" t="s">
        <v>177</v>
      </c>
      <c r="G7" s="29" t="b">
        <v>0</v>
      </c>
      <c r="H7" s="20" t="s">
        <v>178</v>
      </c>
      <c r="I7" s="27" t="b">
        <v>1</v>
      </c>
      <c r="J7" s="30" t="s">
        <v>179</v>
      </c>
      <c r="K7" s="27" t="b">
        <v>0</v>
      </c>
      <c r="L7" s="20" t="s">
        <v>180</v>
      </c>
      <c r="M7" s="27" t="b">
        <v>1</v>
      </c>
      <c r="N7" s="28" t="s">
        <v>181</v>
      </c>
    </row>
    <row r="8">
      <c r="A8" s="29" t="b">
        <v>0</v>
      </c>
      <c r="B8" s="20" t="s">
        <v>182</v>
      </c>
      <c r="C8" s="27" t="b">
        <v>0</v>
      </c>
      <c r="D8" s="20" t="s">
        <v>183</v>
      </c>
      <c r="E8" s="27" t="b">
        <v>0</v>
      </c>
      <c r="F8" s="20" t="s">
        <v>184</v>
      </c>
      <c r="G8" s="27" t="b">
        <v>0</v>
      </c>
      <c r="H8" s="20" t="s">
        <v>185</v>
      </c>
      <c r="I8" s="27" t="b">
        <v>0</v>
      </c>
      <c r="J8" s="20" t="s">
        <v>186</v>
      </c>
      <c r="K8" s="27" t="b">
        <v>1</v>
      </c>
      <c r="L8" s="20" t="s">
        <v>187</v>
      </c>
      <c r="M8" s="27" t="b">
        <v>0</v>
      </c>
      <c r="N8" s="28" t="s">
        <v>188</v>
      </c>
    </row>
    <row r="10">
      <c r="A10" s="2" t="s">
        <v>189</v>
      </c>
      <c r="C10" s="2" t="s">
        <v>190</v>
      </c>
      <c r="E10" s="2" t="s">
        <v>191</v>
      </c>
      <c r="G10" s="2" t="s">
        <v>192</v>
      </c>
      <c r="I10" s="2" t="s">
        <v>193</v>
      </c>
      <c r="K10" s="2" t="s">
        <v>194</v>
      </c>
      <c r="M10" s="2" t="s">
        <v>195</v>
      </c>
    </row>
    <row r="11">
      <c r="B11" s="31">
        <f>IFERROR(IF(COUNTIF(A4:A8,TRUE)&gt;1,"Pilih 1 saja",MATCH(TRUE,A4:A8,0)/5*120),"")</f>
        <v>24</v>
      </c>
      <c r="D11" s="31">
        <f>IFERROR(IF(COUNTIF(C4:C8,TRUE)&gt;1,"Pilih 1 saja",MATCH(TRUE,C4:C8,0)/5*120),"")</f>
        <v>48</v>
      </c>
      <c r="F11" s="31">
        <f>IFERROR(IF(COUNTIF(E4:E8,TRUE)&gt;1,"Pilih 1 saja",MATCH(TRUE,E4:E8,0)/5*120),"")</f>
        <v>72</v>
      </c>
      <c r="H11" s="31">
        <f>IFERROR(IF(COUNTIF(G4:G8,TRUE)&gt;1,"Pilih 1 saja",MATCH(TRUE,G4:G8,0)/5*120),"")</f>
        <v>72</v>
      </c>
      <c r="J11" s="31">
        <f>IFERROR(IF(COUNTIF(I4:I8,TRUE)&gt;1,"Pilih 1 saja",MATCH(TRUE,I4:I8,0)/5*120),"")</f>
        <v>96</v>
      </c>
      <c r="L11" s="31">
        <f>IFERROR(IF(COUNTIF(K4:K8,TRUE)&gt;1,"Pilih 1 saja",MATCH(TRUE,K4:K8,0)/5*120),"")</f>
        <v>120</v>
      </c>
      <c r="N11" s="31">
        <f>IFERROR(IF(COUNTIF(M4:M8,TRUE)&gt;1,"Pilih 1 saja",MATCH(TRUE,M4:M8,0)/5*120),"")</f>
        <v>96</v>
      </c>
    </row>
    <row r="13">
      <c r="A13" s="2" t="s">
        <v>196</v>
      </c>
    </row>
    <row r="14">
      <c r="B14" s="31">
        <f>IFERROR(IF(COUNT(B11,D11,F11,H11,J11,L11,N11)&lt;7,"Belum valid: pastikan setiap Nilai Dasar ASN BerAKHLAK sudah dipilih tepat 1 checkbox (tidak boleh kosong atau lebih dari 1 tercentang)",ROUNDUP((B11+D11+F11+H11+J11+L11+N11)/7,2)),"Belum valid: pastikan setiap Nilai Dasar ASN BerAKHLAK sudah dipilih tepat 1 checkbox (tidak boleh kosong atau lebih dari 1 tercentang)")</f>
        <v>75.43</v>
      </c>
    </row>
    <row r="17">
      <c r="A17" s="2" t="s">
        <v>197</v>
      </c>
    </row>
    <row r="18">
      <c r="A18" s="2">
        <v>1.0</v>
      </c>
      <c r="B18" s="2" t="s">
        <v>198</v>
      </c>
      <c r="C18" s="2" t="s">
        <v>18</v>
      </c>
    </row>
    <row r="19">
      <c r="C19" s="2" t="s">
        <v>21</v>
      </c>
    </row>
    <row r="20">
      <c r="C20" s="2" t="s">
        <v>27</v>
      </c>
    </row>
    <row r="21">
      <c r="A21" s="2">
        <v>2.0</v>
      </c>
      <c r="B21" s="2" t="s">
        <v>199</v>
      </c>
      <c r="C21" s="2" t="s">
        <v>29</v>
      </c>
    </row>
    <row r="22">
      <c r="C22" s="2" t="s">
        <v>30</v>
      </c>
    </row>
    <row r="23">
      <c r="A23" s="2">
        <v>3.0</v>
      </c>
      <c r="B23" s="2" t="s">
        <v>200</v>
      </c>
      <c r="C23" s="2" t="s">
        <v>16</v>
      </c>
    </row>
    <row r="24">
      <c r="C24" s="2" t="s">
        <v>24</v>
      </c>
    </row>
    <row r="27">
      <c r="A27" s="2" t="s">
        <v>201</v>
      </c>
    </row>
    <row r="28">
      <c r="A28" s="2">
        <v>1.0</v>
      </c>
      <c r="B28" s="2" t="s">
        <v>202</v>
      </c>
      <c r="F28" s="32">
        <f>IFERROR(IF(COUNT(D11,F11,J11)&lt;3,"Belum valid: pastikan Nilai Dasar Akuntabel, Kompeten, dan Loyal masing-masing sudah dipilih tepat 1 checkbox",(D11+F11+J11)/3),"Belum valid: pastikan Nilai Dasar Akuntabel, Kompeten, dan Loyal masing-masing sudah dipilih tepat 1 checkbox")</f>
        <v>72</v>
      </c>
    </row>
    <row r="29">
      <c r="A29" s="2"/>
      <c r="B29" s="2"/>
      <c r="D29" s="2" t="s">
        <v>18</v>
      </c>
      <c r="F29" s="11" t="str">
        <f t="array" ref="F29">IFERROR(IF(COUNTIF(C4:C8,TRUE)&gt;1,"Pilih hanya 1 checkbox pada Akuntabel","Level "&amp;MATCH(TRUE,C4:C8,0)&amp;": "&amp;INDEX(D4:D8,MATCH(TRUE,C4:C8,0))),"Belum ada checkbox yang dipilih pada Akuntabel")</f>
        <v>Level 2: 2. Menyelesaikan tugas dengan hasil yang tidak sesuai standar karena kurang teliti dalam bekerja.</v>
      </c>
    </row>
    <row r="30">
      <c r="A30" s="2"/>
      <c r="B30" s="2"/>
      <c r="D30" s="2" t="s">
        <v>21</v>
      </c>
      <c r="F30" s="11" t="str">
        <f t="array" ref="F30">IFERROR(IF(COUNTIF(E4:E8,TRUE)&gt;1,"Pilih hanya 1 checkbox pada Kompeten","Level "&amp;MATCH(TRUE,E4:E8,0)&amp;": "&amp;INDEX(F4:F8,MATCH(TRUE,E4:E8,0))),"Belum ada checkbox yang dipilih pada Kompeten")</f>
        <v>Level 3: 3. Mengikuti pelatihan/tugas belajar yang diwajibkan dan menerapkannya pada pekerjaan sehari-hari.</v>
      </c>
    </row>
    <row r="31">
      <c r="A31" s="2"/>
      <c r="B31" s="2"/>
      <c r="D31" s="2" t="s">
        <v>27</v>
      </c>
      <c r="F31" s="11" t="str">
        <f t="array" ref="F31">IFERROR(IF(COUNTIF(I4:I8,TRUE)&gt;1,"Pilih hanya 1 checkbox pada Loyal","Level "&amp;MATCH(TRUE,I4:I8,0)&amp;": "&amp;INDEX(J4:J8,MATCH(TRUE,I4:I8,0))),"Belum ada checkbox yang dipilih pada Loyal")</f>
        <v>Level 4: 4. Menjaga kerahasiaan data/dokumen negara sesuai dengan tingkat kerahasiaannya.</v>
      </c>
    </row>
    <row r="32">
      <c r="A32" s="2">
        <v>2.0</v>
      </c>
      <c r="B32" s="2" t="s">
        <v>203</v>
      </c>
      <c r="F32" s="32">
        <f>IFERROR(IF(COUNT(L11,N11)&lt;2,"Belum valid: pastikan Nilai Dasar Adaptif dan Kolaboratif masing-masing sudah dipilih tepat 1 checkbox",(L11+N11)/2),"Belum valid: pastikan Nilai Dasar Adaptif dan Kolaboratif masing-masing sudah dipilih tepat 1 checkbox")</f>
        <v>108</v>
      </c>
    </row>
    <row r="33">
      <c r="A33" s="2"/>
      <c r="B33" s="2"/>
      <c r="D33" s="2" t="s">
        <v>29</v>
      </c>
      <c r="F33" s="11" t="str">
        <f t="array" ref="F33">IFERROR(IF(COUNTIF(K4:K8,TRUE)&gt;1,"Pilih hanya 1 checkbox pada Adaptif","Level "&amp;MATCH(TRUE,K4:K8,0)&amp;": "&amp;INDEX(L4:L8,MATCH(TRUE,K4:K8,0))),"Belum ada checkbox yang dipilih pada Adaptif")</f>
        <v>Level 5: 5. Menjadi pihak pertama yang mencoba dan menerapkan sistem/teknologi baru sebelum diwajibkan, lalu membagikannya ke rekan kerja.</v>
      </c>
    </row>
    <row r="34">
      <c r="A34" s="2"/>
      <c r="B34" s="2"/>
      <c r="D34" s="2" t="s">
        <v>30</v>
      </c>
      <c r="F34" s="11" t="str">
        <f t="array" ref="F34">IFERROR(IF(COUNTIF(M4:M8,TRUE)&gt;1,"Pilih hanya 1 checkbox pada Kolaboratif","Level "&amp;MATCH(TRUE,M4:M8,0)&amp;": "&amp;INDEX(N4:N8,MATCH(TRUE,M4:M8,0))),"Belum ada checkbox yang dipilih pada Kolaboratif")</f>
        <v>Level 4: 4. Mengajak pihak lain (unit/instansi) untuk terlibat dalam penyelesaian pekerjaan bersama.</v>
      </c>
    </row>
    <row r="35">
      <c r="A35" s="2">
        <v>3.0</v>
      </c>
      <c r="B35" s="2" t="s">
        <v>204</v>
      </c>
      <c r="F35" s="32">
        <f>IFERROR(IF(COUNT(B11,H11)&lt;2,"Belum valid: pastikan Nilai Dasar Berorientasi Pelayanan dan Harmonis masing-masing sudah dipilih tepat 1 checkbox",(B11+H11)/2),"Belum valid: pastikan Nilai Dasar Berorientasi Pelayanan dan Harmonis masing-masing sudah dipilih tepat 1 checkbox")</f>
        <v>48</v>
      </c>
    </row>
    <row r="36">
      <c r="D36" s="2" t="s">
        <v>16</v>
      </c>
      <c r="F36" s="11" t="str">
        <f t="array" ref="F36">IFERROR(IF(COUNTIF(A4:A8,TRUE)&gt;1,"Pilih hanya 1 checkbox pada Berorientasi Pelayanan","Level "&amp;MATCH(TRUE,A4:A8,0)&amp;": "&amp;INDEX(B4:B8,MATCH(TRUE,A4:A8,0))),"Belum ada checkbox yang dipilih pada Berorientasi Pelayanan")</f>
        <v>Level 1: 1. Membiarkan keluhan masyarakat/pengguna layanan tidak ditindaklanjuti hingga berlarut-larut.</v>
      </c>
    </row>
    <row r="37">
      <c r="D37" s="2" t="s">
        <v>24</v>
      </c>
      <c r="F37" s="11" t="str">
        <f t="array" ref="F37">IFERROR(IF(COUNTIF(G4:G8,TRUE)&gt;1,"Pilih hanya 1 checkbox pada Harmonis","Level "&amp;MATCH(TRUE,G4:G8,0)&amp;": "&amp;INDEX(H4:H8,MATCH(TRUE,G4:G8,0))),"Belum ada checkbox yang dipilih pada Harmonis")</f>
        <v>Level 3: 3. Bersedia membantu rekan kerja yang meminta bantuan secara langsung.</v>
      </c>
    </row>
    <row r="40">
      <c r="A40" s="2" t="s">
        <v>205</v>
      </c>
    </row>
    <row r="42">
      <c r="B42" s="2" t="s">
        <v>206</v>
      </c>
    </row>
    <row r="43">
      <c r="B43" s="2" t="s">
        <v>207</v>
      </c>
    </row>
    <row r="45">
      <c r="B45" s="2" t="s">
        <v>208</v>
      </c>
      <c r="C45" s="2" t="s">
        <v>41</v>
      </c>
    </row>
    <row r="46">
      <c r="B46" s="2" t="s">
        <v>209</v>
      </c>
      <c r="C46" s="11">
        <f>F28</f>
        <v>72</v>
      </c>
    </row>
    <row r="47">
      <c r="B47" s="2" t="s">
        <v>199</v>
      </c>
      <c r="C47" s="11">
        <f>F32</f>
        <v>108</v>
      </c>
    </row>
    <row r="48">
      <c r="B48" s="2" t="s">
        <v>200</v>
      </c>
      <c r="C48" s="11">
        <f>F35</f>
        <v>48</v>
      </c>
    </row>
    <row r="70">
      <c r="A70" s="2" t="s">
        <v>210</v>
      </c>
    </row>
    <row r="72">
      <c r="B72" s="2" t="s">
        <v>211</v>
      </c>
    </row>
    <row r="73">
      <c r="B73" s="2" t="s">
        <v>13</v>
      </c>
      <c r="C73" s="2" t="s">
        <v>41</v>
      </c>
    </row>
    <row r="74">
      <c r="B74" s="2" t="s">
        <v>16</v>
      </c>
      <c r="C74" s="11">
        <f>B11</f>
        <v>24</v>
      </c>
    </row>
    <row r="75">
      <c r="B75" s="2" t="s">
        <v>18</v>
      </c>
      <c r="C75" s="11">
        <f>D11</f>
        <v>48</v>
      </c>
    </row>
    <row r="76">
      <c r="B76" s="2" t="s">
        <v>21</v>
      </c>
      <c r="C76" s="11">
        <f>F11</f>
        <v>72</v>
      </c>
    </row>
    <row r="77">
      <c r="B77" s="2" t="s">
        <v>24</v>
      </c>
      <c r="C77" s="11">
        <f>H11</f>
        <v>72</v>
      </c>
    </row>
    <row r="78">
      <c r="B78" s="2" t="s">
        <v>27</v>
      </c>
      <c r="C78" s="11">
        <f>J11</f>
        <v>96</v>
      </c>
    </row>
    <row r="79">
      <c r="B79" s="2" t="s">
        <v>29</v>
      </c>
      <c r="C79" s="11">
        <f>L11</f>
        <v>120</v>
      </c>
    </row>
    <row r="80">
      <c r="B80" s="2" t="s">
        <v>30</v>
      </c>
      <c r="C80" s="11">
        <f>N11</f>
        <v>96</v>
      </c>
    </row>
    <row r="83">
      <c r="B83" s="2" t="s">
        <v>212</v>
      </c>
    </row>
    <row r="84">
      <c r="B84" s="2" t="s">
        <v>208</v>
      </c>
      <c r="C84" s="2" t="s">
        <v>41</v>
      </c>
    </row>
    <row r="85">
      <c r="B85" s="2" t="s">
        <v>209</v>
      </c>
      <c r="C85" s="11">
        <f>F28</f>
        <v>72</v>
      </c>
    </row>
    <row r="86">
      <c r="B86" s="2" t="s">
        <v>199</v>
      </c>
      <c r="C86" s="11">
        <f>F32</f>
        <v>108</v>
      </c>
    </row>
    <row r="87">
      <c r="B87" s="2" t="s">
        <v>200</v>
      </c>
      <c r="C87" s="11">
        <f>F35</f>
        <v>48</v>
      </c>
    </row>
  </sheetData>
  <mergeCells count="7">
    <mergeCell ref="A3:B3"/>
    <mergeCell ref="C3:D3"/>
    <mergeCell ref="E3:F3"/>
    <mergeCell ref="G3:H3"/>
    <mergeCell ref="I3:J3"/>
    <mergeCell ref="K3:L3"/>
    <mergeCell ref="M3:N3"/>
  </mergeCells>
  <drawing r:id="rId1"/>
</worksheet>
</file>